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urel\Desktop\Projects\EXCEL Dash\"/>
    </mc:Choice>
  </mc:AlternateContent>
  <xr:revisionPtr revIDLastSave="0" documentId="8_{4F081F69-F642-47F4-AF3E-1CD579C354CA}" xr6:coauthVersionLast="47" xr6:coauthVersionMax="47" xr10:uidLastSave="{00000000-0000-0000-0000-000000000000}"/>
  <bookViews>
    <workbookView xWindow="-107" yWindow="-107" windowWidth="20847" windowHeight="13110" xr2:uid="{00000000-000D-0000-FFFF-FFFF00000000}"/>
  </bookViews>
  <sheets>
    <sheet name="Financial Summary" sheetId="1" r:id="rId1"/>
    <sheet name="Activity Survey" sheetId="3" r:id="rId2"/>
    <sheet name="benchmarks" sheetId="7" r:id="rId3"/>
    <sheet name="financial_summary" sheetId="4" r:id="rId4"/>
    <sheet name="activity_survey" sheetId="5" r:id="rId5"/>
  </sheets>
  <definedNames>
    <definedName name="_xlpm.actual" hidden="1" xlm="1">#NAME?</definedName>
    <definedName name="_xlpm.ax" hidden="1" xlm="1">#NAME?</definedName>
    <definedName name="_xlpm.b" hidden="1" xlm="1">#NAME?</definedName>
    <definedName name="_xlpm.bench" hidden="1" xlm="1">#NAME?</definedName>
    <definedName name="_xlpm.dir" hidden="1" xlm="1">#NAME?</definedName>
    <definedName name="_xlpm.end" hidden="1" xlm="1">#NAME?</definedName>
    <definedName name="_xlpm.fmt" hidden="1" xlm="1">#NAME?</definedName>
    <definedName name="_xlpm.gap" hidden="1" xlm="1">#NAME?</definedName>
    <definedName name="_xlpm.gp" hidden="1" xlm="1">#NAME?</definedName>
    <definedName name="_xlpm.kpi" hidden="1" xlm="1">#NAME?</definedName>
    <definedName name="_xlpm.pct" hidden="1" xlm="1">#NAME?</definedName>
    <definedName name="_xlpm.rev" hidden="1" xlm="1">#NAME?</definedName>
    <definedName name="_xlpm.s_exc" hidden="1" xlm="1">#NAME?</definedName>
    <definedName name="_xlpm.s_good" hidden="1" xlm="1">#NAME?</definedName>
    <definedName name="_xlpm.s_neu" hidden="1" xlm="1">#NAME?</definedName>
    <definedName name="_xlpm.s_warn" hidden="1" xlm="1">#NAME?</definedName>
    <definedName name="_xlpm.start" hidden="1" xlm="1">#NAME?</definedName>
    <definedName name="_xlpm.tot" hidden="1" xlm="1">#NAME?</definedName>
    <definedName name="_xlpm.val" hidden="1" xlm="1">#NAME?</definedName>
    <definedName name="_xlpm.x" hidden="1" xlm="1">#NAME?</definedName>
    <definedName name="ExternalData_1" localSheetId="4" hidden="1">activity_survey!$A$1:$S$1844</definedName>
    <definedName name="ExternalData_1" localSheetId="3" hidden="1">financial_summary!$A$1:$V$13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1" i="4" l="1" a="1"/>
  <c r="K21" i="4" s="1"/>
  <c r="K20" i="4" a="1"/>
  <c r="K20" i="4" s="1"/>
  <c r="J21" i="4" a="1"/>
  <c r="J21" i="4" s="1"/>
  <c r="J20" i="4" a="1"/>
  <c r="J20" i="4" s="1"/>
  <c r="I21" i="4" a="1"/>
  <c r="I21" i="4" s="1"/>
  <c r="I20" i="4" a="1"/>
  <c r="I20" i="4" s="1"/>
  <c r="H21" i="4" a="1"/>
  <c r="H21" i="4" s="1"/>
  <c r="H20" i="4" a="1"/>
  <c r="H20" i="4" s="1"/>
  <c r="G21" i="4" a="1"/>
  <c r="G21" i="4"/>
  <c r="G20" i="4" a="1"/>
  <c r="G20" i="4" s="1"/>
  <c r="F21" i="4" a="1"/>
  <c r="F21" i="4" s="1"/>
  <c r="F20" i="4" a="1"/>
  <c r="F20" i="4" s="1"/>
  <c r="E21" i="4" a="1"/>
  <c r="E21" i="4" s="1"/>
  <c r="E20" i="4" a="1"/>
  <c r="E20" i="4" s="1"/>
  <c r="D21" i="4" a="1"/>
  <c r="D21" i="4" s="1"/>
  <c r="D20" i="4" a="1"/>
  <c r="D20" i="4" s="1"/>
  <c r="AC26" i="1"/>
  <c r="U26" i="1"/>
  <c r="M26" i="1"/>
  <c r="E26" i="1"/>
  <c r="U14" i="1"/>
  <c r="AC14" i="1"/>
  <c r="E14" i="1"/>
  <c r="M14" i="1"/>
  <c r="AE24" i="1" a="1"/>
  <c r="AE24" i="1" s="1"/>
  <c r="AE23" i="1" a="1"/>
  <c r="AE23" i="1" s="1"/>
  <c r="W24" i="1" a="1"/>
  <c r="W24" i="1" s="1"/>
  <c r="W23" i="1" a="1"/>
  <c r="W23" i="1" s="1"/>
  <c r="O23" i="1" a="1"/>
  <c r="O23" i="1" s="1"/>
  <c r="O24" i="1" a="1"/>
  <c r="O24" i="1" s="1"/>
  <c r="G24" i="1" a="1"/>
  <c r="G24" i="1" s="1"/>
  <c r="G23" i="1" a="1"/>
  <c r="G23" i="1" s="1"/>
  <c r="AE12" i="1" a="1"/>
  <c r="AE12" i="1" s="1"/>
  <c r="AE11" i="1" a="1"/>
  <c r="AE11" i="1" s="1"/>
  <c r="W12" i="1" a="1"/>
  <c r="W12" i="1" s="1"/>
  <c r="W11" i="1" a="1"/>
  <c r="W11" i="1" s="1"/>
  <c r="O12" i="1" a="1"/>
  <c r="O12" i="1" s="1"/>
  <c r="O11" i="1" a="1"/>
  <c r="O11" i="1" s="1"/>
  <c r="G12" i="1" a="1"/>
  <c r="G12" i="1" s="1"/>
  <c r="G11" i="1" a="1"/>
  <c r="G11" i="1" s="1"/>
  <c r="AA19" i="1"/>
  <c r="S19" i="1"/>
  <c r="K19" i="1"/>
  <c r="C19" i="1"/>
  <c r="S7" i="1"/>
  <c r="K7" i="1"/>
  <c r="C7" i="1"/>
  <c r="AA7" i="1"/>
  <c r="D14" i="4"/>
  <c r="E14" i="4"/>
  <c r="F14" i="4"/>
  <c r="G14" i="4" s="1"/>
  <c r="H14" i="4"/>
  <c r="I14" i="4"/>
  <c r="J14" i="4"/>
  <c r="K14" i="4"/>
  <c r="L14" i="4"/>
  <c r="N14" i="4"/>
  <c r="O14" i="4"/>
  <c r="P14" i="4"/>
  <c r="Q14" i="4"/>
  <c r="R14" i="4"/>
  <c r="S14" i="4"/>
  <c r="T14" i="4"/>
  <c r="U14" i="4"/>
  <c r="V14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3E70817-8EF2-4F33-B725-5547C7203C31}" keepAlive="1" name="Query - activity_survey" description="Connection to the 'activity_survey' query in the workbook." type="5" refreshedVersion="8" background="1" saveData="1">
    <dbPr connection="Provider=Microsoft.Mashup.OleDb.1;Data Source=$Workbook$;Location=activity_survey;Extended Properties=&quot;&quot;" command="SELECT * FROM [activity_survey]"/>
  </connection>
  <connection id="2" xr16:uid="{63124E8E-DD88-40DD-991B-D98DC5211606}" keepAlive="1" name="Query - financial_summary" description="Connection to the 'financial_summary' query in the workbook." type="5" refreshedVersion="8" background="1" saveData="1">
    <dbPr connection="Provider=Microsoft.Mashup.OleDb.1;Data Source=$Workbook$;Location=financial_summary;Extended Properties=&quot;&quot;" command="SELECT * FROM [financial_summa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<sst xmlns="http://schemas.openxmlformats.org/spreadsheetml/2006/main" count="11183" uniqueCount="261">
  <si>
    <t>index</t>
  </si>
  <si>
    <t>date</t>
  </si>
  <si>
    <t>year_month</t>
  </si>
  <si>
    <t>revenue</t>
  </si>
  <si>
    <t>cogs</t>
  </si>
  <si>
    <t>gross_profit</t>
  </si>
  <si>
    <t>gross_margin</t>
  </si>
  <si>
    <t>opex</t>
  </si>
  <si>
    <t>net_income</t>
  </si>
  <si>
    <t>cash_inflow</t>
  </si>
  <si>
    <t>cash_outflow</t>
  </si>
  <si>
    <t>net_cash_flow</t>
  </si>
  <si>
    <t>ending_cash</t>
  </si>
  <si>
    <t>budget_revenue</t>
  </si>
  <si>
    <t>budget_cogs</t>
  </si>
  <si>
    <t>budget_opex</t>
  </si>
  <si>
    <t>budget_opening_cash</t>
  </si>
  <si>
    <t>variance_revenue</t>
  </si>
  <si>
    <t>variance_cogs</t>
  </si>
  <si>
    <t>variance_opex</t>
  </si>
  <si>
    <t>variance_net_income</t>
  </si>
  <si>
    <t>variance%</t>
  </si>
  <si>
    <t>time</t>
  </si>
  <si>
    <t>country</t>
  </si>
  <si>
    <t>region</t>
  </si>
  <si>
    <t>segment</t>
  </si>
  <si>
    <t>channel</t>
  </si>
  <si>
    <t>product_category</t>
  </si>
  <si>
    <t>customer_name</t>
  </si>
  <si>
    <t>No.</t>
  </si>
  <si>
    <t>quantity</t>
  </si>
  <si>
    <t>avg_unit_sell_price</t>
  </si>
  <si>
    <t>avg_discount</t>
  </si>
  <si>
    <t>avg_standard_cost</t>
  </si>
  <si>
    <t>gross_amount</t>
  </si>
  <si>
    <t>net_revenue</t>
  </si>
  <si>
    <t>Column17</t>
  </si>
  <si>
    <t>Column18</t>
  </si>
  <si>
    <t>Column19</t>
  </si>
  <si>
    <t>France</t>
  </si>
  <si>
    <t>Ile-De-France</t>
  </si>
  <si>
    <t>B2C</t>
  </si>
  <si>
    <t>E-commerce</t>
  </si>
  <si>
    <t>Electronics</t>
  </si>
  <si>
    <t>Jade Lopez</t>
  </si>
  <si>
    <t>Occitanie</t>
  </si>
  <si>
    <t>B2B Grand Compte</t>
  </si>
  <si>
    <t>Retail</t>
  </si>
  <si>
    <t>Fashion</t>
  </si>
  <si>
    <t>Optima Conseil Holding</t>
  </si>
  <si>
    <t>B2B PME</t>
  </si>
  <si>
    <t>Inside Sales</t>
  </si>
  <si>
    <t>Home</t>
  </si>
  <si>
    <t>Riviera Supply SAS</t>
  </si>
  <si>
    <t>Nouvelle-Aquitaine</t>
  </si>
  <si>
    <t>Yassine Konate</t>
  </si>
  <si>
    <t>Côte d'Ivoire</t>
  </si>
  <si>
    <t>Bouake</t>
  </si>
  <si>
    <t>Cap Sud Equipement SAS</t>
  </si>
  <si>
    <t>Kevin Traore</t>
  </si>
  <si>
    <t>Riviera Supply Holding</t>
  </si>
  <si>
    <t>Hexa Services Group</t>
  </si>
  <si>
    <t>Yamoussoukro</t>
  </si>
  <si>
    <t>Nicolas Durand</t>
  </si>
  <si>
    <t>Dylan Traore</t>
  </si>
  <si>
    <t>Espagne</t>
  </si>
  <si>
    <t>Madrid</t>
  </si>
  <si>
    <t>Topline Solutions SARL</t>
  </si>
  <si>
    <t>Ahmed Lopez</t>
  </si>
  <si>
    <t>Urban Motion SARL</t>
  </si>
  <si>
    <t>france</t>
  </si>
  <si>
    <t>Thomas Martin</t>
  </si>
  <si>
    <t>Abidjan</t>
  </si>
  <si>
    <t>Louis Lambert</t>
  </si>
  <si>
    <t>Elite Habitat SARL</t>
  </si>
  <si>
    <t>Belgique</t>
  </si>
  <si>
    <t>Bruxelles</t>
  </si>
  <si>
    <t>Antoine Dupont</t>
  </si>
  <si>
    <t>Auvergne-Rhone-Alpes</t>
  </si>
  <si>
    <t>Optima Conseil Services</t>
  </si>
  <si>
    <t>Catalogne</t>
  </si>
  <si>
    <t>Paul Leroy</t>
  </si>
  <si>
    <t>Kora Logistics SARL</t>
  </si>
  <si>
    <t>Maroc</t>
  </si>
  <si>
    <t>Casablanca-Settat</t>
  </si>
  <si>
    <t>Bati Plus Group</t>
  </si>
  <si>
    <t>Riviera Supply Group</t>
  </si>
  <si>
    <t>Vision Commerce Services</t>
  </si>
  <si>
    <t>Grand Est</t>
  </si>
  <si>
    <t>Nicolas Laurent</t>
  </si>
  <si>
    <t>Optima Conseil Group</t>
  </si>
  <si>
    <t>Julie Roux</t>
  </si>
  <si>
    <t>Paca</t>
  </si>
  <si>
    <t>Chloe Moreau</t>
  </si>
  <si>
    <t>Smart Office Group</t>
  </si>
  <si>
    <t>B2B-PME</t>
  </si>
  <si>
    <t>Unknown</t>
  </si>
  <si>
    <t>Maxime Bertrand</t>
  </si>
  <si>
    <t>Aurelien Morel</t>
  </si>
  <si>
    <t>Fatou Petit</t>
  </si>
  <si>
    <t>Sarah Bernard</t>
  </si>
  <si>
    <t>Flandre</t>
  </si>
  <si>
    <t>Camille Garnier</t>
  </si>
  <si>
    <t>Vision Commerce Group</t>
  </si>
  <si>
    <t>Paul Konate</t>
  </si>
  <si>
    <t>Fatou Bonnet</t>
  </si>
  <si>
    <t>Wallonie</t>
  </si>
  <si>
    <t>Noemie Laurent</t>
  </si>
  <si>
    <t>Nova Retail SAS</t>
  </si>
  <si>
    <t>Louis Vincent</t>
  </si>
  <si>
    <t>Salome Traore</t>
  </si>
  <si>
    <t>Smart Office Holding</t>
  </si>
  <si>
    <t>Mediterra Shop Services</t>
  </si>
  <si>
    <t>Soleil Distribution SAS</t>
  </si>
  <si>
    <t>Laura Bertrand</t>
  </si>
  <si>
    <t>Morgane Andre</t>
  </si>
  <si>
    <t>Camille Richard</t>
  </si>
  <si>
    <t>Urban Motion Services</t>
  </si>
  <si>
    <t>Soleil Distribution Group</t>
  </si>
  <si>
    <t>Salome Moreau</t>
  </si>
  <si>
    <t>lea lambert</t>
  </si>
  <si>
    <t>Brahim Leroy</t>
  </si>
  <si>
    <t>Aicha Vincent</t>
  </si>
  <si>
    <t>Lea Konate</t>
  </si>
  <si>
    <t>Elodie Martinez</t>
  </si>
  <si>
    <t>Mariam Garcia</t>
  </si>
  <si>
    <t>Rabat-Sale-Kenitra</t>
  </si>
  <si>
    <t>Louis Petit</t>
  </si>
  <si>
    <t>Maxime Diallo</t>
  </si>
  <si>
    <t>Elite Habitat Services</t>
  </si>
  <si>
    <t>Brahim Martinez</t>
  </si>
  <si>
    <t>Karim Roux</t>
  </si>
  <si>
    <t>Atlas Trading Group</t>
  </si>
  <si>
    <t>Azur Concept Services</t>
  </si>
  <si>
    <t>Andalousie</t>
  </si>
  <si>
    <t>Julie Diop</t>
  </si>
  <si>
    <t>Chloe Legrand</t>
  </si>
  <si>
    <t>Noemie Leroy</t>
  </si>
  <si>
    <t>Prestige Home Services</t>
  </si>
  <si>
    <t>Elite Habitat Holding</t>
  </si>
  <si>
    <t>Thomas Dubois</t>
  </si>
  <si>
    <t>Benoit Bamba</t>
  </si>
  <si>
    <t>Mediterra Shop Holding</t>
  </si>
  <si>
    <t>Yassine Legrand</t>
  </si>
  <si>
    <t>Blue Horizon SARL</t>
  </si>
  <si>
    <t>Julie Lefevre</t>
  </si>
  <si>
    <t>Soleil Distribution Services</t>
  </si>
  <si>
    <t>Salome Michel</t>
  </si>
  <si>
    <t>Prestige Home SAS</t>
  </si>
  <si>
    <t>Florian Robert</t>
  </si>
  <si>
    <t>Brahim Morel</t>
  </si>
  <si>
    <t>Camille Petit</t>
  </si>
  <si>
    <t>Ile-de-France</t>
  </si>
  <si>
    <t>Noemie Vincent</t>
  </si>
  <si>
    <t>Urban Motion SAS</t>
  </si>
  <si>
    <t>Prestige Home SARL</t>
  </si>
  <si>
    <t>Emma Dubois</t>
  </si>
  <si>
    <t>Laura Diallo</t>
  </si>
  <si>
    <t>B2c</t>
  </si>
  <si>
    <t>Morgane Vincent</t>
  </si>
  <si>
    <t>Atlas Trading Holding</t>
  </si>
  <si>
    <t>Ines Simon</t>
  </si>
  <si>
    <t>Camille Bertrand</t>
  </si>
  <si>
    <t>Azur Concept SARL</t>
  </si>
  <si>
    <t>Marrakech-Safi</t>
  </si>
  <si>
    <t>Lea Diallo</t>
  </si>
  <si>
    <t>vision commerce holding</t>
  </si>
  <si>
    <t>Topline Solutions SAS</t>
  </si>
  <si>
    <t>Fatou Robert</t>
  </si>
  <si>
    <t>Thomas Thomas</t>
  </si>
  <si>
    <t>Jade Richard</t>
  </si>
  <si>
    <t>Florian Legrand</t>
  </si>
  <si>
    <t>Paul Bamba</t>
  </si>
  <si>
    <t>Brahim Thomas</t>
  </si>
  <si>
    <t>Clara Roux</t>
  </si>
  <si>
    <t>Chloe Bamba</t>
  </si>
  <si>
    <t>Atlas Trading SARL</t>
  </si>
  <si>
    <t>Mehdi Lambert</t>
  </si>
  <si>
    <t>Aurelien Lefevre</t>
  </si>
  <si>
    <t>Elite Habitat SAS</t>
  </si>
  <si>
    <t>Blue Horizon Holding</t>
  </si>
  <si>
    <t>Fatou Garcia</t>
  </si>
  <si>
    <t>Antoine Leroy</t>
  </si>
  <si>
    <t>Atlas Trading SAS</t>
  </si>
  <si>
    <t>Hugo David</t>
  </si>
  <si>
    <t>Paul Dubois</t>
  </si>
  <si>
    <t>Sarah Petit</t>
  </si>
  <si>
    <t>Alpha Partners SAS</t>
  </si>
  <si>
    <t>Urban Motion Holding</t>
  </si>
  <si>
    <t>AZUR CONCEPT SERVICES</t>
  </si>
  <si>
    <t>Salome Diallo</t>
  </si>
  <si>
    <t>Soleil Distribution SARL</t>
  </si>
  <si>
    <t>Sarah Robert</t>
  </si>
  <si>
    <t>Mehdi Moreau</t>
  </si>
  <si>
    <t>Alpha Partners Group</t>
  </si>
  <si>
    <t>Smart Office Services</t>
  </si>
  <si>
    <t>Lucie Bertrand</t>
  </si>
  <si>
    <t>FRANCE</t>
  </si>
  <si>
    <t>atlas trading holding</t>
  </si>
  <si>
    <t>Camille Diallo</t>
  </si>
  <si>
    <t>Noemie Bamba</t>
  </si>
  <si>
    <t>Cap Sud Equipement Holding</t>
  </si>
  <si>
    <t>Mehdi Fournier</t>
  </si>
  <si>
    <t>Dylan Lambert</t>
  </si>
  <si>
    <t>Hexa Services SARL</t>
  </si>
  <si>
    <t>Dylan Chevalier</t>
  </si>
  <si>
    <t>Romain Konate</t>
  </si>
  <si>
    <t>Louis David</t>
  </si>
  <si>
    <t>Bati Plus SARL</t>
  </si>
  <si>
    <t>Florian Girard</t>
  </si>
  <si>
    <t>Antoine Petit</t>
  </si>
  <si>
    <t>Salome Bonnet</t>
  </si>
  <si>
    <t>Chloe Robert</t>
  </si>
  <si>
    <t>Antoine Diallo</t>
  </si>
  <si>
    <t>Nova Retail Group</t>
  </si>
  <si>
    <t>Bati Plus Holding</t>
  </si>
  <si>
    <t>Hugo Lefevre</t>
  </si>
  <si>
    <t>Elodie Girard</t>
  </si>
  <si>
    <t>Delta Market Holding</t>
  </si>
  <si>
    <t>Ahmed Bertrand</t>
  </si>
  <si>
    <t>Thomas Dupont</t>
  </si>
  <si>
    <t>Aicha Francois</t>
  </si>
  <si>
    <t>Karim Dupont</t>
  </si>
  <si>
    <t>Atlas Trading Services</t>
  </si>
  <si>
    <t>Emma Bernard</t>
  </si>
  <si>
    <t>Cap Sud Equipement SARL</t>
  </si>
  <si>
    <t>noemie lefevre</t>
  </si>
  <si>
    <t>Chloe Lefevre</t>
  </si>
  <si>
    <t>Riviera Supply SARL</t>
  </si>
  <si>
    <t>Prestige Home Holding</t>
  </si>
  <si>
    <t>Ines Chevalier</t>
  </si>
  <si>
    <t>Vision Commerce SAS</t>
  </si>
  <si>
    <t>Delta Market Group</t>
  </si>
  <si>
    <t>Kora Logistics Group</t>
  </si>
  <si>
    <t>Financial Summary</t>
  </si>
  <si>
    <t>Revenue</t>
  </si>
  <si>
    <t>COGS</t>
  </si>
  <si>
    <t>Gross Profit</t>
  </si>
  <si>
    <t>Gross Margin</t>
  </si>
  <si>
    <t>Opex</t>
  </si>
  <si>
    <t>Net Income</t>
  </si>
  <si>
    <t>Cash Flows</t>
  </si>
  <si>
    <t>Ending Cash</t>
  </si>
  <si>
    <t>►</t>
  </si>
  <si>
    <t>Status</t>
  </si>
  <si>
    <t>1st sem.</t>
  </si>
  <si>
    <t>2nd sem.</t>
  </si>
  <si>
    <t>KPI</t>
  </si>
  <si>
    <t>benchmark</t>
  </si>
  <si>
    <t>thres_excellent</t>
  </si>
  <si>
    <t>thres_good</t>
  </si>
  <si>
    <t>thres_neutral</t>
  </si>
  <si>
    <t>thres_warning</t>
  </si>
  <si>
    <t>direction</t>
  </si>
  <si>
    <t>higher better</t>
  </si>
  <si>
    <t>lower better</t>
  </si>
  <si>
    <t>cash_flow</t>
  </si>
  <si>
    <t>1st sem</t>
  </si>
  <si>
    <t>2nd sem</t>
  </si>
  <si>
    <t>Full-year overview - January to December 2025</t>
  </si>
  <si>
    <t>By Aurvl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</si>
</sst>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_([$€-2]\ * #,##0.00_);_([$€-2]\ * \(#,##0.00\);_([$€-2]\ 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theme="1"/>
      <name val="Segoe UI"/>
      <family val="2"/>
    </font>
    <font>
      <b/>
      <sz val="22"/>
      <color theme="1"/>
      <name val="Segoe UI"/>
      <family val="2"/>
    </font>
    <font>
      <sz val="12"/>
      <color theme="1" tint="0.34998626667073579"/>
      <name val="Segoe UI"/>
      <family val="2"/>
    </font>
    <font>
      <sz val="32"/>
      <color theme="1"/>
      <name val="Roboto"/>
    </font>
    <font>
      <sz val="11"/>
      <color theme="1"/>
      <name val="Source Serif Pro Black"/>
      <family val="1"/>
      <charset val="1"/>
    </font>
    <font>
      <sz val="11"/>
      <color theme="1" tint="0.34998626667073579"/>
      <name val="Segoe UI"/>
      <family val="2"/>
    </font>
    <font>
      <sz val="11"/>
      <color theme="1" tint="0.34998626667073579"/>
      <name val="Source Serif Pro Black"/>
      <family val="1"/>
      <charset val="1"/>
    </font>
    <font>
      <sz val="18"/>
      <color theme="1"/>
      <name val="Baguet Script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2F6F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2"/>
      </left>
      <right/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/>
      <top/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/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/>
      <right style="thin">
        <color theme="2"/>
      </right>
      <top style="thin">
        <color theme="2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9">
    <xf numFmtId="0" fontId="0" fillId="0" borderId="0" xfId="0"/>
    <xf numFmtId="14" fontId="0" fillId="0" borderId="0" xfId="0" applyNumberFormat="1"/>
    <xf numFmtId="0" fontId="0" fillId="0" borderId="0" xfId="0" applyNumberFormat="1"/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3" fillId="0" borderId="0" xfId="0" applyFont="1" applyAlignment="1">
      <alignment horizontal="left" indent="1"/>
    </xf>
    <xf numFmtId="0" fontId="3" fillId="0" borderId="0" xfId="0" applyFont="1" applyBorder="1" applyAlignment="1">
      <alignment horizontal="left" indent="1"/>
    </xf>
    <xf numFmtId="0" fontId="3" fillId="0" borderId="0" xfId="0" applyFont="1" applyFill="1" applyBorder="1" applyAlignment="1">
      <alignment horizontal="left" indent="1"/>
    </xf>
    <xf numFmtId="0" fontId="3" fillId="0" borderId="0" xfId="0" applyFont="1" applyFill="1" applyAlignment="1">
      <alignment horizontal="left" indent="1"/>
    </xf>
    <xf numFmtId="9" fontId="0" fillId="0" borderId="0" xfId="1" applyFont="1"/>
    <xf numFmtId="167" fontId="0" fillId="0" borderId="0" xfId="0" applyNumberFormat="1"/>
    <xf numFmtId="9" fontId="1" fillId="0" borderId="0" xfId="0" applyNumberFormat="1" applyFont="1"/>
    <xf numFmtId="0" fontId="6" fillId="3" borderId="0" xfId="0" applyFont="1" applyFill="1" applyBorder="1" applyAlignment="1">
      <alignment horizontal="left" indent="1"/>
    </xf>
    <xf numFmtId="0" fontId="7" fillId="3" borderId="0" xfId="0" applyFont="1" applyFill="1" applyBorder="1" applyAlignment="1">
      <alignment horizontal="left" indent="1"/>
    </xf>
    <xf numFmtId="0" fontId="3" fillId="3" borderId="0" xfId="0" applyFont="1" applyFill="1" applyBorder="1" applyAlignment="1">
      <alignment horizontal="left" indent="1"/>
    </xf>
    <xf numFmtId="0" fontId="5" fillId="4" borderId="7" xfId="0" applyFont="1" applyFill="1" applyBorder="1" applyAlignment="1">
      <alignment horizontal="left" indent="1"/>
    </xf>
    <xf numFmtId="0" fontId="5" fillId="4" borderId="8" xfId="0" applyFont="1" applyFill="1" applyBorder="1" applyAlignment="1">
      <alignment horizontal="left" indent="1"/>
    </xf>
    <xf numFmtId="0" fontId="5" fillId="4" borderId="9" xfId="0" applyFont="1" applyFill="1" applyBorder="1" applyAlignment="1">
      <alignment horizontal="left" indent="1"/>
    </xf>
    <xf numFmtId="0" fontId="8" fillId="4" borderId="2" xfId="0" applyNumberFormat="1" applyFont="1" applyFill="1" applyBorder="1" applyAlignment="1">
      <alignment horizontal="left" vertical="center" indent="1"/>
    </xf>
    <xf numFmtId="0" fontId="8" fillId="4" borderId="0" xfId="0" applyNumberFormat="1" applyFont="1" applyFill="1" applyBorder="1" applyAlignment="1">
      <alignment horizontal="left" vertical="center" indent="1"/>
    </xf>
    <xf numFmtId="0" fontId="3" fillId="4" borderId="3" xfId="0" applyFont="1" applyFill="1" applyBorder="1" applyAlignment="1">
      <alignment horizontal="left" indent="1"/>
    </xf>
    <xf numFmtId="0" fontId="8" fillId="4" borderId="2" xfId="0" applyFont="1" applyFill="1" applyBorder="1" applyAlignment="1">
      <alignment horizontal="left" vertical="center" indent="1"/>
    </xf>
    <xf numFmtId="0" fontId="8" fillId="4" borderId="0" xfId="0" applyFont="1" applyFill="1" applyBorder="1" applyAlignment="1">
      <alignment horizontal="left" vertical="center" indent="1"/>
    </xf>
    <xf numFmtId="0" fontId="3" fillId="4" borderId="2" xfId="0" applyFont="1" applyFill="1" applyBorder="1" applyAlignment="1">
      <alignment horizontal="left" indent="1"/>
    </xf>
    <xf numFmtId="0" fontId="10" fillId="4" borderId="0" xfId="0" applyFont="1" applyFill="1" applyBorder="1" applyAlignment="1">
      <alignment horizontal="left" indent="1"/>
    </xf>
    <xf numFmtId="0" fontId="11" fillId="4" borderId="0" xfId="0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left" indent="1"/>
    </xf>
    <xf numFmtId="0" fontId="4" fillId="4" borderId="0" xfId="0" applyFont="1" applyFill="1" applyBorder="1" applyAlignment="1">
      <alignment horizontal="right" indent="1"/>
    </xf>
    <xf numFmtId="0" fontId="3" fillId="4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left" indent="1"/>
    </xf>
    <xf numFmtId="0" fontId="3" fillId="4" borderId="5" xfId="0" applyFont="1" applyFill="1" applyBorder="1" applyAlignment="1">
      <alignment horizontal="left" indent="1"/>
    </xf>
    <xf numFmtId="0" fontId="3" fillId="4" borderId="6" xfId="0" applyFont="1" applyFill="1" applyBorder="1" applyAlignment="1">
      <alignment horizontal="left" indent="1"/>
    </xf>
    <xf numFmtId="0" fontId="9" fillId="4" borderId="0" xfId="0" applyFont="1" applyFill="1" applyBorder="1" applyAlignment="1">
      <alignment horizontal="center"/>
    </xf>
    <xf numFmtId="9" fontId="8" fillId="4" borderId="0" xfId="1" applyFont="1" applyFill="1" applyBorder="1" applyAlignment="1">
      <alignment horizontal="left" vertical="center" indent="1"/>
    </xf>
    <xf numFmtId="9" fontId="8" fillId="4" borderId="2" xfId="1" applyFont="1" applyFill="1" applyBorder="1" applyAlignment="1">
      <alignment horizontal="left" vertical="center" indent="1"/>
    </xf>
    <xf numFmtId="0" fontId="7" fillId="3" borderId="0" xfId="0" applyFont="1" applyFill="1" applyBorder="1" applyAlignment="1">
      <alignment horizontal="left" indent="1"/>
    </xf>
    <xf numFmtId="0" fontId="6" fillId="3" borderId="0" xfId="0" applyFont="1" applyFill="1" applyBorder="1" applyAlignment="1">
      <alignment horizontal="left" indent="1"/>
    </xf>
    <xf numFmtId="167" fontId="0" fillId="6" borderId="0" xfId="0" applyNumberFormat="1" applyFill="1"/>
    <xf numFmtId="0" fontId="0" fillId="6" borderId="0" xfId="0" applyFill="1"/>
    <xf numFmtId="0" fontId="0" fillId="5" borderId="0" xfId="0" applyFill="1"/>
    <xf numFmtId="167" fontId="0" fillId="5" borderId="0" xfId="0" applyNumberFormat="1" applyFill="1"/>
    <xf numFmtId="167" fontId="2" fillId="2" borderId="1" xfId="0" applyNumberFormat="1" applyFont="1" applyFill="1" applyBorder="1"/>
    <xf numFmtId="9" fontId="2" fillId="2" borderId="1" xfId="1" applyNumberFormat="1" applyFont="1" applyFill="1" applyBorder="1"/>
    <xf numFmtId="167" fontId="0" fillId="0" borderId="0" xfId="0" applyNumberFormat="1" applyFill="1"/>
    <xf numFmtId="0" fontId="10" fillId="6" borderId="0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left" indent="1"/>
    </xf>
    <xf numFmtId="0" fontId="4" fillId="4" borderId="0" xfId="0" applyFont="1" applyFill="1" applyBorder="1" applyAlignment="1">
      <alignment horizontal="left" indent="1"/>
    </xf>
    <xf numFmtId="0" fontId="12" fillId="3" borderId="0" xfId="0" applyFont="1" applyFill="1" applyBorder="1" applyAlignment="1">
      <alignment vertical="center"/>
    </xf>
    <xf numFmtId="0" fontId="12" fillId="3" borderId="11" xfId="0" applyFont="1" applyFill="1" applyBorder="1" applyAlignment="1">
      <alignment horizontal="right" vertical="center" indent="2"/>
    </xf>
    <xf numFmtId="0" fontId="12" fillId="3" borderId="10" xfId="0" applyFont="1" applyFill="1" applyBorder="1" applyAlignment="1">
      <alignment horizontal="right" vertical="center" indent="2"/>
    </xf>
    <xf numFmtId="0" fontId="12" fillId="3" borderId="12" xfId="0" applyFont="1" applyFill="1" applyBorder="1" applyAlignment="1">
      <alignment horizontal="right" vertical="center" indent="2"/>
    </xf>
    <xf numFmtId="0" fontId="12" fillId="3" borderId="4" xfId="0" applyFont="1" applyFill="1" applyBorder="1" applyAlignment="1">
      <alignment horizontal="right" vertical="center" indent="2"/>
    </xf>
    <xf numFmtId="0" fontId="12" fillId="3" borderId="5" xfId="0" applyFont="1" applyFill="1" applyBorder="1" applyAlignment="1">
      <alignment horizontal="right" vertical="center" indent="2"/>
    </xf>
    <xf numFmtId="0" fontId="12" fillId="3" borderId="6" xfId="0" applyFont="1" applyFill="1" applyBorder="1" applyAlignment="1">
      <alignment horizontal="right" vertical="center" indent="2"/>
    </xf>
  </cellXfs>
  <cellStyles count="2">
    <cellStyle name="Normal" xfId="0" builtinId="0"/>
    <cellStyle name="Percent" xfId="1" builtinId="5"/>
  </cellStyles>
  <dxfs count="68">
    <dxf>
      <font>
        <color rgb="FF375623"/>
      </font>
    </dxf>
    <dxf>
      <font>
        <color rgb="FF70AD47"/>
      </font>
    </dxf>
    <dxf>
      <font>
        <color rgb="FF808080"/>
      </font>
    </dxf>
    <dxf>
      <font>
        <color rgb="FFED7D31"/>
      </font>
    </dxf>
    <dxf>
      <font>
        <color rgb="FFFF0000"/>
      </font>
    </dxf>
    <dxf>
      <fill>
        <patternFill>
          <bgColor rgb="FF375623"/>
        </patternFill>
      </fill>
    </dxf>
    <dxf>
      <fill>
        <patternFill>
          <bgColor rgb="FF92D050"/>
        </patternFill>
      </fill>
    </dxf>
    <dxf>
      <font>
        <color rgb="FFED7D31"/>
      </font>
    </dxf>
    <dxf>
      <font>
        <color rgb="FF808080"/>
      </font>
    </dxf>
    <dxf>
      <font>
        <color rgb="FF70AD47"/>
      </font>
    </dxf>
    <dxf>
      <font>
        <color rgb="FF375623"/>
      </font>
    </dxf>
    <dxf>
      <font>
        <color rgb="FF808080"/>
      </font>
    </dxf>
    <dxf>
      <font>
        <color rgb="FF70AD47"/>
      </font>
    </dxf>
    <dxf>
      <font>
        <color rgb="FF375623"/>
      </font>
    </dxf>
    <dxf>
      <font>
        <color rgb="FF70AD47"/>
      </font>
    </dxf>
    <dxf>
      <font>
        <color rgb="FF375623"/>
      </font>
    </dxf>
    <dxf>
      <font>
        <color rgb="FF375623"/>
      </font>
    </dxf>
    <dxf>
      <fill>
        <patternFill>
          <bgColor rgb="FF375623"/>
        </patternFill>
      </fill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67" formatCode="_([$€-2]\ * #,##0.00_);_([$€-2]\ * \(#,##0.00\);_([$€-2]\ * &quot;-&quot;??_);_(@_)"/>
    </dxf>
    <dxf>
      <numFmt numFmtId="19" formatCode="m/d/yyyy"/>
    </dxf>
    <dxf>
      <numFmt numFmtId="19" formatCode="m/d/yyyy"/>
    </dxf>
  </dxfs>
  <tableStyles count="0" defaultTableStyle="TableStyleMedium2" defaultPivotStyle="PivotStyleLight16"/>
  <colors>
    <mruColors>
      <color rgb="FFFF0000"/>
      <color rgb="FFED7D31"/>
      <color rgb="FF808080"/>
      <color rgb="FF70AD47"/>
      <color rgb="FF375623"/>
      <color rgb="FFF2F6FC"/>
      <color rgb="FFEDF2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24BD01C-76FD-47FC-9FA9-C860F8F68699}" autoFormatId="16" applyNumberFormats="0" applyBorderFormats="0" applyFontFormats="0" applyPatternFormats="0" applyAlignmentFormats="0" applyWidthHeightFormats="0">
  <queryTableRefresh nextId="23">
    <queryTableFields count="22">
      <queryTableField id="1" name="index" tableColumnId="1"/>
      <queryTableField id="2" name="date" tableColumnId="2"/>
      <queryTableField id="3" name="year_month" tableColumnId="3"/>
      <queryTableField id="4" name="revenue" tableColumnId="4"/>
      <queryTableField id="5" name="cogs" tableColumnId="5"/>
      <queryTableField id="6" name="gross_profit" tableColumnId="6"/>
      <queryTableField id="7" name="gross_margin" tableColumnId="7"/>
      <queryTableField id="8" name="opex" tableColumnId="8"/>
      <queryTableField id="9" name="net_income" tableColumnId="9"/>
      <queryTableField id="10" name="cash_inflow" tableColumnId="10"/>
      <queryTableField id="11" name="cash_outflow" tableColumnId="11"/>
      <queryTableField id="12" name="net_cash_flow" tableColumnId="12"/>
      <queryTableField id="13" name="ending_cash" tableColumnId="13"/>
      <queryTableField id="14" name="budget_revenue" tableColumnId="14"/>
      <queryTableField id="15" name="budget_cogs" tableColumnId="15"/>
      <queryTableField id="16" name="budget_opex" tableColumnId="16"/>
      <queryTableField id="17" name="budget_opening_cash" tableColumnId="17"/>
      <queryTableField id="18" name="variance_revenue" tableColumnId="18"/>
      <queryTableField id="19" name="variance_cogs" tableColumnId="19"/>
      <queryTableField id="20" name="variance_opex" tableColumnId="20"/>
      <queryTableField id="21" name="variance_net_income" tableColumnId="21"/>
      <queryTableField id="22" name="variance%" tableColumnId="2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731C59-9039-4C1B-9303-02BE14B8E65A}" autoFormatId="16" applyNumberFormats="0" applyBorderFormats="0" applyFontFormats="0" applyPatternFormats="0" applyAlignmentFormats="0" applyWidthHeightFormats="0">
  <queryTableRefresh nextId="20">
    <queryTableFields count="19">
      <queryTableField id="1" name="time" tableColumnId="1"/>
      <queryTableField id="2" name="country" tableColumnId="2"/>
      <queryTableField id="3" name="region" tableColumnId="3"/>
      <queryTableField id="4" name="segment" tableColumnId="4"/>
      <queryTableField id="5" name="channel" tableColumnId="5"/>
      <queryTableField id="6" name="product_category" tableColumnId="6"/>
      <queryTableField id="7" name="customer_name" tableColumnId="7"/>
      <queryTableField id="8" name="No." tableColumnId="8"/>
      <queryTableField id="9" name="quantity" tableColumnId="9"/>
      <queryTableField id="10" name="avg_unit_sell_price" tableColumnId="10"/>
      <queryTableField id="11" name="avg_discount" tableColumnId="11"/>
      <queryTableField id="12" name="avg_standard_cost" tableColumnId="12"/>
      <queryTableField id="13" name="gross_amount" tableColumnId="13"/>
      <queryTableField id="14" name="net_revenue" tableColumnId="14"/>
      <queryTableField id="15" name="cogs" tableColumnId="15"/>
      <queryTableField id="16" name="gross_profit" tableColumnId="16"/>
      <queryTableField id="17" name="Column17" tableColumnId="17"/>
      <queryTableField id="18" name="Column18" tableColumnId="18"/>
      <queryTableField id="19" name="Column19" tableColumnId="1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D54F26-4735-45FC-BEDF-947995E49F85}" name="benchmarks" displayName="benchmarks" ref="A1:G9" totalsRowShown="0">
  <autoFilter ref="A1:G9" xr:uid="{B7D54F26-4735-45FC-BEDF-947995E49F85}"/>
  <tableColumns count="7">
    <tableColumn id="1" xr3:uid="{98DC09D4-9F9E-4278-9ED8-5117728E3378}" name="KPI"/>
    <tableColumn id="2" xr3:uid="{04306608-78C4-4D1E-A2E3-A2F1FC2D1605}" name="benchmark"/>
    <tableColumn id="3" xr3:uid="{3FEDB31B-6AFF-4FDC-A518-449AA12EBFB2}" name="thres_excellent"/>
    <tableColumn id="4" xr3:uid="{C87A86E9-3378-4BFD-8DA1-CC764FDA0065}" name="thres_good"/>
    <tableColumn id="5" xr3:uid="{1B7917D2-2A71-4224-9833-3D3F5D6D2A75}" name="thres_neutral"/>
    <tableColumn id="6" xr3:uid="{45CA5CCD-18D8-4C39-BC27-B0C8F276E749}" name="thres_warning"/>
    <tableColumn id="7" xr3:uid="{41400104-745C-42BD-9719-47086C48A6F3}" name="direc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208711-4B12-4194-AAB2-DC66652EDF08}" name="financial_summary" displayName="financial_summary" ref="A1:V14" tableType="queryTable" totalsRowCount="1">
  <autoFilter ref="A1:V13" xr:uid="{6A208711-4B12-4194-AAB2-DC66652EDF08}"/>
  <tableColumns count="22">
    <tableColumn id="1" xr3:uid="{A3BB4CFE-C69C-4DF7-823E-42A2E60CBE37}" uniqueName="1" name="index" queryTableFieldId="1"/>
    <tableColumn id="2" xr3:uid="{5A0DBC53-C34E-4E1A-BB39-8AD9F8D2DD97}" uniqueName="2" name="date" queryTableFieldId="2" dataDxfId="67" totalsRowDxfId="39"/>
    <tableColumn id="3" xr3:uid="{6D1A7896-5B96-488C-8095-DB3FE9A9B393}" uniqueName="3" name="year_month" queryTableFieldId="3" dataDxfId="66" totalsRowDxfId="38"/>
    <tableColumn id="4" xr3:uid="{73C63827-2C08-46D9-9673-B0B107414B64}" uniqueName="4" name="revenue" totalsRowFunction="custom" queryTableFieldId="4" dataDxfId="65" totalsRowDxfId="37">
      <totalsRowFormula>SUM(financial_summary[revenue])</totalsRowFormula>
    </tableColumn>
    <tableColumn id="5" xr3:uid="{B6BBE69B-CB5D-4810-9C8C-328BC64FF4C7}" uniqueName="5" name="cogs" totalsRowFunction="custom" queryTableFieldId="5" dataDxfId="64" totalsRowDxfId="36">
      <totalsRowFormula>SUM(financial_summary[cogs])</totalsRowFormula>
    </tableColumn>
    <tableColumn id="6" xr3:uid="{F44FA981-4DC6-40F1-B9E2-FED58CD66FB0}" uniqueName="6" name="gross_profit" totalsRowFunction="custom" queryTableFieldId="6" dataDxfId="63" totalsRowDxfId="35">
      <totalsRowFormula>SUM(financial_summary[gross_profit])</totalsRowFormula>
    </tableColumn>
    <tableColumn id="7" xr3:uid="{9AD5253D-65CD-4688-98B8-04AAC1512BF3}" uniqueName="7" name="gross_margin" totalsRowFunction="custom" queryTableFieldId="7" dataDxfId="62" totalsRowDxfId="34" dataCellStyle="Percent">
      <totalsRowFormula>financial_summary[[#Totals],[gross_profit]]/financial_summary[[#Totals],[revenue]]</totalsRowFormula>
    </tableColumn>
    <tableColumn id="8" xr3:uid="{12E4D3A2-4616-45B5-A453-64A8BFBBB71E}" uniqueName="8" name="opex" totalsRowFunction="custom" queryTableFieldId="8" dataDxfId="61" totalsRowDxfId="33">
      <totalsRowFormula>SUM(financial_summary[opex])</totalsRowFormula>
    </tableColumn>
    <tableColumn id="9" xr3:uid="{17752D35-1FDB-47B4-850F-F7DCAA1FAAE4}" uniqueName="9" name="net_income" totalsRowFunction="custom" queryTableFieldId="9" dataDxfId="60" totalsRowDxfId="32">
      <totalsRowFormula>SUM(financial_summary[net_income])</totalsRowFormula>
    </tableColumn>
    <tableColumn id="10" xr3:uid="{F8F5EAB4-0204-437E-A135-553681EC41D3}" uniqueName="10" name="cash_inflow" totalsRowFunction="custom" queryTableFieldId="10" dataDxfId="59" totalsRowDxfId="31">
      <totalsRowFormula>SUM(financial_summary[cash_inflow])</totalsRowFormula>
    </tableColumn>
    <tableColumn id="11" xr3:uid="{4E2CCA41-CAB8-44D4-BDEF-6027F003C132}" uniqueName="11" name="cash_outflow" totalsRowFunction="custom" queryTableFieldId="11" dataDxfId="58" totalsRowDxfId="30">
      <totalsRowFormula>SUM(financial_summary[cash_outflow])</totalsRowFormula>
    </tableColumn>
    <tableColumn id="12" xr3:uid="{E638E994-4E6B-4CBC-AFC7-A7775DCFBCCB}" uniqueName="12" name="net_cash_flow" totalsRowFunction="custom" queryTableFieldId="12" dataDxfId="57" totalsRowDxfId="29">
      <totalsRowFormula>SUM(financial_summary[net_cash_flow])</totalsRowFormula>
    </tableColumn>
    <tableColumn id="13" xr3:uid="{3011773D-599E-42ED-8B33-AAF2548C17D5}" uniqueName="13" name="ending_cash" queryTableFieldId="13" dataDxfId="56" totalsRowDxfId="28"/>
    <tableColumn id="14" xr3:uid="{CEFFA879-9D18-40B3-93D4-05141EA1A975}" uniqueName="14" name="budget_revenue" totalsRowFunction="custom" queryTableFieldId="14" dataDxfId="55" totalsRowDxfId="27">
      <totalsRowFormula>SUM(financial_summary[budget_revenue])</totalsRowFormula>
    </tableColumn>
    <tableColumn id="15" xr3:uid="{DCA06592-8B68-43CE-ADBA-3C47C277B512}" uniqueName="15" name="budget_cogs" totalsRowFunction="custom" queryTableFieldId="15" dataDxfId="54" totalsRowDxfId="26">
      <totalsRowFormula>SUM(financial_summary[budget_cogs])</totalsRowFormula>
    </tableColumn>
    <tableColumn id="16" xr3:uid="{1E4BE6C1-33CF-4D8C-9F9C-9A959F895134}" uniqueName="16" name="budget_opex" totalsRowFunction="custom" queryTableFieldId="16" dataDxfId="53" totalsRowDxfId="25">
      <totalsRowFormula>SUM(financial_summary[budget_opex])</totalsRowFormula>
    </tableColumn>
    <tableColumn id="17" xr3:uid="{13240606-E06B-4313-9998-F0EB58BD04B9}" uniqueName="17" name="budget_opening_cash" totalsRowFunction="custom" queryTableFieldId="17" dataDxfId="52" totalsRowDxfId="24">
      <totalsRowFormula>SUM(financial_summary[budget_opening_cash])</totalsRowFormula>
    </tableColumn>
    <tableColumn id="18" xr3:uid="{CD2D38E8-2080-421A-9580-224190432D8A}" uniqueName="18" name="variance_revenue" totalsRowFunction="custom" queryTableFieldId="18" dataDxfId="51" totalsRowDxfId="23">
      <totalsRowFormula>SUM(financial_summary[variance_revenue])</totalsRowFormula>
    </tableColumn>
    <tableColumn id="19" xr3:uid="{3CE0381A-DB0D-40FA-A775-4A0CB820C3E2}" uniqueName="19" name="variance_cogs" totalsRowFunction="custom" queryTableFieldId="19" dataDxfId="50" totalsRowDxfId="22">
      <totalsRowFormula>SUM(financial_summary[variance_cogs])</totalsRowFormula>
    </tableColumn>
    <tableColumn id="20" xr3:uid="{DF9EC3C0-2F22-4217-9BFB-62202E8D1FBF}" uniqueName="20" name="variance_opex" totalsRowFunction="custom" queryTableFieldId="20" dataDxfId="49" totalsRowDxfId="21">
      <totalsRowFormula>SUM(financial_summary[variance_opex])</totalsRowFormula>
    </tableColumn>
    <tableColumn id="21" xr3:uid="{19340A18-E7B0-4B0F-AEFC-3FEEF3FA5F00}" uniqueName="21" name="variance_net_income" totalsRowFunction="custom" queryTableFieldId="21" dataDxfId="48" totalsRowDxfId="20">
      <totalsRowFormula>SUM(financial_summary[variance_net_income])</totalsRowFormula>
    </tableColumn>
    <tableColumn id="22" xr3:uid="{924984D3-38EA-43B4-80DD-BD58F44FBB40}" uniqueName="22" name="variance%" totalsRowFunction="custom" queryTableFieldId="22" dataDxfId="47" totalsRowDxfId="19" dataCellStyle="Percent">
      <totalsRowFormula>(financial_summary[[#Totals],[revenue]]-financial_summary[[#Totals],[budget_revenue]])/financial_summary[[#Totals],[budget_revenue]]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9230B9A-7F6E-4E6E-B254-03B466C01BBE}" name="activity_survey" displayName="activity_survey" ref="A1:S1844" tableType="queryTable" totalsRowShown="0">
  <autoFilter ref="A1:S1844" xr:uid="{99230B9A-7F6E-4E6E-B254-03B466C01BBE}"/>
  <tableColumns count="19">
    <tableColumn id="1" xr3:uid="{21D4E029-E8C5-4EDE-AA8B-88404B79F2CE}" uniqueName="1" name="time" queryTableFieldId="1" dataDxfId="46"/>
    <tableColumn id="2" xr3:uid="{A66044A6-3281-47D9-ADF3-C2AA60ACF6EC}" uniqueName="2" name="country" queryTableFieldId="2" dataDxfId="45"/>
    <tableColumn id="3" xr3:uid="{598F4785-D8AE-4EB0-9860-4AA5BDC0A180}" uniqueName="3" name="region" queryTableFieldId="3" dataDxfId="44"/>
    <tableColumn id="4" xr3:uid="{7FAA798A-677E-44F6-B44B-F3510B50CAD0}" uniqueName="4" name="segment" queryTableFieldId="4" dataDxfId="43"/>
    <tableColumn id="5" xr3:uid="{553C3625-9DAC-498F-A229-472F33F61413}" uniqueName="5" name="channel" queryTableFieldId="5" dataDxfId="42"/>
    <tableColumn id="6" xr3:uid="{5246262A-D278-4F05-8CDF-910EA17875D7}" uniqueName="6" name="product_category" queryTableFieldId="6" dataDxfId="41"/>
    <tableColumn id="7" xr3:uid="{714AD4B2-B68E-4564-8776-DF7977B7681D}" uniqueName="7" name="customer_name" queryTableFieldId="7" dataDxfId="40"/>
    <tableColumn id="8" xr3:uid="{3EC71593-B384-461F-AFC1-D657CA8C57F8}" uniqueName="8" name="No." queryTableFieldId="8"/>
    <tableColumn id="9" xr3:uid="{689AE7BB-C59B-4BDD-AB9F-C65E1E04CD17}" uniqueName="9" name="quantity" queryTableFieldId="9"/>
    <tableColumn id="10" xr3:uid="{B036E3FA-08D4-4F35-89E9-42864B1A0E44}" uniqueName="10" name="avg_unit_sell_price" queryTableFieldId="10"/>
    <tableColumn id="11" xr3:uid="{35FEE1FA-3CF0-417F-8675-72BEE3B166ED}" uniqueName="11" name="avg_discount" queryTableFieldId="11"/>
    <tableColumn id="12" xr3:uid="{14CE0084-D5C4-4318-975A-F626A2D03A6A}" uniqueName="12" name="avg_standard_cost" queryTableFieldId="12"/>
    <tableColumn id="13" xr3:uid="{F45FA852-C091-49AD-97CB-8DAD2017ABFF}" uniqueName="13" name="gross_amount" queryTableFieldId="13"/>
    <tableColumn id="14" xr3:uid="{FD76D63F-CEFB-4F7C-88F4-EEA13D02521E}" uniqueName="14" name="net_revenue" queryTableFieldId="14"/>
    <tableColumn id="15" xr3:uid="{53B57906-CD86-4413-9D80-CAB1CFAE92F9}" uniqueName="15" name="cogs" queryTableFieldId="15"/>
    <tableColumn id="16" xr3:uid="{E11CA0FF-A5F3-470A-A664-4BA8D2E309D3}" uniqueName="16" name="gross_profit" queryTableFieldId="16"/>
    <tableColumn id="17" xr3:uid="{E24D4C7C-0543-4C94-A61C-A0F6842EF5AC}" uniqueName="17" name="Column17" queryTableFieldId="17"/>
    <tableColumn id="18" xr3:uid="{8EC5848F-7590-4360-BF96-3DB9ED115241}" uniqueName="18" name="Column18" queryTableFieldId="18"/>
    <tableColumn id="19" xr3:uid="{F636EB41-34EA-4D51-A4A6-527C8A781009}" uniqueName="19" name="Column19" queryTableFieldId="1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39997558519241921"/>
  </sheetPr>
  <dimension ref="A1:AK36"/>
  <sheetViews>
    <sheetView showGridLines="0" tabSelected="1" zoomScale="85" zoomScaleNormal="85" workbookViewId="0">
      <selection activeCell="AL8" sqref="AL8"/>
    </sheetView>
  </sheetViews>
  <sheetFormatPr defaultRowHeight="17.2" x14ac:dyDescent="0.45"/>
  <cols>
    <col min="1" max="1" width="3.19921875" style="6" customWidth="1"/>
    <col min="2" max="3" width="3.19921875" style="5" customWidth="1"/>
    <col min="4" max="4" width="14.19921875" style="5" bestFit="1" customWidth="1"/>
    <col min="5" max="7" width="3.19921875" style="5" customWidth="1"/>
    <col min="8" max="8" width="8.796875" style="5"/>
    <col min="9" max="11" width="3.19921875" style="5" customWidth="1"/>
    <col min="12" max="12" width="14.19921875" style="5" bestFit="1" customWidth="1"/>
    <col min="13" max="15" width="3.19921875" style="5" customWidth="1"/>
    <col min="16" max="16" width="8.796875" style="5"/>
    <col min="17" max="19" width="3.19921875" style="5" customWidth="1"/>
    <col min="20" max="20" width="14.19921875" style="5" bestFit="1" customWidth="1"/>
    <col min="21" max="23" width="3.19921875" style="5" customWidth="1"/>
    <col min="24" max="24" width="8.796875" style="5"/>
    <col min="25" max="26" width="3.19921875" style="5" customWidth="1"/>
    <col min="27" max="27" width="3.19921875" style="8" customWidth="1"/>
    <col min="28" max="28" width="14.19921875" style="8" bestFit="1" customWidth="1"/>
    <col min="29" max="31" width="3.19921875" style="5" customWidth="1"/>
    <col min="32" max="32" width="8.796875" style="5"/>
    <col min="33" max="33" width="3.19921875" style="8" customWidth="1"/>
    <col min="34" max="34" width="3.19921875" style="5" customWidth="1"/>
    <col min="35" max="35" width="3.19921875" style="6" customWidth="1"/>
    <col min="36" max="36" width="8.796875" style="5"/>
    <col min="37" max="37" width="3.19921875" style="5" customWidth="1"/>
    <col min="38" max="16384" width="8.796875" style="5"/>
  </cols>
  <sheetData>
    <row r="1" spans="1:37" s="6" customFormat="1" x14ac:dyDescent="0.4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</row>
    <row r="2" spans="1:37" ht="31.7" x14ac:dyDescent="0.75">
      <c r="A2" s="14"/>
      <c r="B2" s="14"/>
      <c r="C2" s="38" t="s">
        <v>234</v>
      </c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12"/>
      <c r="S2" s="52"/>
      <c r="T2" s="52"/>
      <c r="U2" s="52"/>
      <c r="V2" s="52"/>
      <c r="W2" s="52"/>
      <c r="X2" s="52"/>
      <c r="Y2" s="52"/>
      <c r="Z2" s="52"/>
      <c r="AA2" s="53" t="s">
        <v>260</v>
      </c>
      <c r="AB2" s="54"/>
      <c r="AC2" s="54"/>
      <c r="AD2" s="54"/>
      <c r="AE2" s="54"/>
      <c r="AF2" s="54"/>
      <c r="AG2" s="55"/>
      <c r="AH2" s="12"/>
      <c r="AI2" s="12"/>
      <c r="AK2" s="3"/>
    </row>
    <row r="3" spans="1:37" ht="17.75" customHeight="1" x14ac:dyDescent="0.45">
      <c r="A3" s="14"/>
      <c r="B3" s="14"/>
      <c r="C3" s="37" t="s">
        <v>259</v>
      </c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13"/>
      <c r="S3" s="52"/>
      <c r="T3" s="52"/>
      <c r="U3" s="52"/>
      <c r="V3" s="52"/>
      <c r="W3" s="52"/>
      <c r="X3" s="52"/>
      <c r="Y3" s="52"/>
      <c r="Z3" s="52"/>
      <c r="AA3" s="56"/>
      <c r="AB3" s="57"/>
      <c r="AC3" s="57"/>
      <c r="AD3" s="57"/>
      <c r="AE3" s="57"/>
      <c r="AF3" s="57"/>
      <c r="AG3" s="58"/>
      <c r="AH3" s="13"/>
      <c r="AI3" s="13"/>
      <c r="AK3" s="4"/>
    </row>
    <row r="4" spans="1:37" x14ac:dyDescent="0.4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</row>
    <row r="5" spans="1:37" x14ac:dyDescent="0.45">
      <c r="A5" s="14"/>
      <c r="B5" s="14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14"/>
      <c r="AI5" s="14"/>
    </row>
    <row r="6" spans="1:37" ht="21.5" x14ac:dyDescent="0.55000000000000004">
      <c r="A6" s="14"/>
      <c r="B6" s="14"/>
      <c r="C6" s="15" t="s">
        <v>235</v>
      </c>
      <c r="D6" s="16"/>
      <c r="E6" s="16"/>
      <c r="F6" s="16"/>
      <c r="G6" s="16"/>
      <c r="H6" s="16"/>
      <c r="I6" s="17"/>
      <c r="J6" s="14"/>
      <c r="K6" s="15" t="s">
        <v>236</v>
      </c>
      <c r="L6" s="16"/>
      <c r="M6" s="16"/>
      <c r="N6" s="16"/>
      <c r="O6" s="16"/>
      <c r="P6" s="16"/>
      <c r="Q6" s="17"/>
      <c r="R6" s="14"/>
      <c r="S6" s="15" t="s">
        <v>237</v>
      </c>
      <c r="T6" s="16"/>
      <c r="U6" s="16"/>
      <c r="V6" s="16"/>
      <c r="W6" s="16"/>
      <c r="X6" s="16"/>
      <c r="Y6" s="17"/>
      <c r="Z6" s="14"/>
      <c r="AA6" s="15" t="s">
        <v>238</v>
      </c>
      <c r="AB6" s="16"/>
      <c r="AC6" s="16"/>
      <c r="AD6" s="16"/>
      <c r="AE6" s="16"/>
      <c r="AF6" s="16"/>
      <c r="AG6" s="17"/>
      <c r="AH6" s="14"/>
      <c r="AI6" s="14"/>
    </row>
    <row r="7" spans="1:37" ht="17.2" customHeight="1" x14ac:dyDescent="0.45">
      <c r="A7" s="14"/>
      <c r="B7" s="14"/>
      <c r="C7" s="18" t="str">
        <f>_xlfn.LET(_xlpm.x, financial_summary!D14,
  IF(ABS(_xlpm.x)&gt;=1000000,
    IF(_xlpm.x&lt;0, "("&amp;TEXT(ABS(_xlpm.x)/1000000,"0.0")&amp;"M)", TEXT(_xlpm.x/1000000,"0.0")&amp;"M"),
  IF(ABS(_xlpm.x)&gt;=1000,
    IF(_xlpm.x&lt;0, "("&amp;TEXT(ABS(_xlpm.x)/1000,"0.0")&amp;"K)", TEXT(_xlpm.x/1000,"0.0")&amp;"K"),
  TEXT(_xlpm.x,"0"))))</f>
        <v>2.5M</v>
      </c>
      <c r="D7" s="19"/>
      <c r="E7" s="19"/>
      <c r="F7" s="19"/>
      <c r="G7" s="19"/>
      <c r="H7" s="19"/>
      <c r="I7" s="20"/>
      <c r="J7" s="14"/>
      <c r="K7" s="18" t="str">
        <f>_xlfn.LET(_xlpm.x, financial_summary!E14,
   IF(ABS(_xlpm.x)&gt;=1000000,
    IF(_xlpm.x&lt;0, "("&amp;TEXT(ABS(_xlpm.x)/1000000,"0.0")&amp;"M)", TEXT(_xlpm.x/1000000,"0.0")&amp;"M"),
  IF(ABS(_xlpm.x)&gt;=1000,
    IF(_xlpm.x&lt;0, "("&amp;TEXT(ABS(_xlpm.x)/1000,"0.0")&amp;"K)", TEXT(_xlpm.x/1000,"0.0")&amp;"K"),
  TEXT(_xlpm.x,"0"))))</f>
        <v>1.5M</v>
      </c>
      <c r="L7" s="19"/>
      <c r="M7" s="19"/>
      <c r="N7" s="19"/>
      <c r="O7" s="19"/>
      <c r="P7" s="19"/>
      <c r="Q7" s="20"/>
      <c r="R7" s="14"/>
      <c r="S7" s="18" t="str">
        <f>_xlfn.LET(_xlpm.x, financial_summary!F14,
IF(ABS(_xlpm.x)&gt;=1000000,
    IF(_xlpm.x&lt;0, "("&amp;TEXT(ABS(_xlpm.x)/1000000,"0.0")&amp;"M)", TEXT(_xlpm.x/1000000,"0.0")&amp;"M"),
  IF(ABS(_xlpm.x)&gt;=1000,
    IF(_xlpm.x&lt;0, "("&amp;TEXT(ABS(_xlpm.x)/1000,"0.0")&amp;"K)", TEXT(_xlpm.x/1000,"0.0")&amp;"K"),
  TEXT(_xlpm.x,"0"))))</f>
        <v>974.3K</v>
      </c>
      <c r="T7" s="19"/>
      <c r="U7" s="19"/>
      <c r="V7" s="19"/>
      <c r="W7" s="19"/>
      <c r="X7" s="19"/>
      <c r="Y7" s="20"/>
      <c r="Z7" s="14"/>
      <c r="AA7" s="36">
        <f>financial_summary!G14</f>
        <v>0.3923907564494713</v>
      </c>
      <c r="AB7" s="35"/>
      <c r="AC7" s="35"/>
      <c r="AD7" s="35"/>
      <c r="AE7" s="35"/>
      <c r="AF7" s="35"/>
      <c r="AG7" s="20"/>
      <c r="AH7" s="14"/>
      <c r="AI7" s="14"/>
    </row>
    <row r="8" spans="1:37" ht="17.2" customHeight="1" x14ac:dyDescent="0.45">
      <c r="A8" s="14"/>
      <c r="B8" s="14"/>
      <c r="C8" s="18"/>
      <c r="D8" s="19"/>
      <c r="E8" s="19"/>
      <c r="F8" s="19"/>
      <c r="G8" s="19"/>
      <c r="H8" s="19"/>
      <c r="I8" s="20"/>
      <c r="J8" s="14"/>
      <c r="K8" s="18"/>
      <c r="L8" s="19"/>
      <c r="M8" s="19"/>
      <c r="N8" s="19"/>
      <c r="O8" s="19"/>
      <c r="P8" s="19"/>
      <c r="Q8" s="20"/>
      <c r="R8" s="14"/>
      <c r="S8" s="18"/>
      <c r="T8" s="19"/>
      <c r="U8" s="19"/>
      <c r="V8" s="19"/>
      <c r="W8" s="19"/>
      <c r="X8" s="19"/>
      <c r="Y8" s="20"/>
      <c r="Z8" s="14"/>
      <c r="AA8" s="36"/>
      <c r="AB8" s="35"/>
      <c r="AC8" s="35"/>
      <c r="AD8" s="35"/>
      <c r="AE8" s="35"/>
      <c r="AF8" s="35"/>
      <c r="AG8" s="20"/>
      <c r="AH8" s="14"/>
      <c r="AI8" s="14"/>
    </row>
    <row r="9" spans="1:37" ht="17.2" customHeight="1" x14ac:dyDescent="0.45">
      <c r="A9" s="14"/>
      <c r="B9" s="14"/>
      <c r="C9" s="18"/>
      <c r="D9" s="19"/>
      <c r="E9" s="19"/>
      <c r="F9" s="19"/>
      <c r="G9" s="19"/>
      <c r="H9" s="19"/>
      <c r="I9" s="20"/>
      <c r="J9" s="14"/>
      <c r="K9" s="18"/>
      <c r="L9" s="19"/>
      <c r="M9" s="19"/>
      <c r="N9" s="19"/>
      <c r="O9" s="19"/>
      <c r="P9" s="19"/>
      <c r="Q9" s="20"/>
      <c r="R9" s="14"/>
      <c r="S9" s="18"/>
      <c r="T9" s="19"/>
      <c r="U9" s="19"/>
      <c r="V9" s="19"/>
      <c r="W9" s="19"/>
      <c r="X9" s="19"/>
      <c r="Y9" s="20"/>
      <c r="Z9" s="14"/>
      <c r="AA9" s="36"/>
      <c r="AB9" s="35"/>
      <c r="AC9" s="35"/>
      <c r="AD9" s="35"/>
      <c r="AE9" s="35"/>
      <c r="AF9" s="35"/>
      <c r="AG9" s="20"/>
      <c r="AH9" s="14"/>
      <c r="AI9" s="14"/>
    </row>
    <row r="10" spans="1:37" ht="17.2" customHeight="1" x14ac:dyDescent="0.45">
      <c r="A10" s="14"/>
      <c r="B10" s="14"/>
      <c r="C10" s="21"/>
      <c r="D10" s="22"/>
      <c r="E10" s="22"/>
      <c r="F10" s="22"/>
      <c r="G10" s="22"/>
      <c r="H10" s="22"/>
      <c r="I10" s="20"/>
      <c r="J10" s="14"/>
      <c r="K10" s="21"/>
      <c r="L10" s="22"/>
      <c r="M10" s="22"/>
      <c r="N10" s="22"/>
      <c r="O10" s="22"/>
      <c r="P10" s="22"/>
      <c r="Q10" s="20"/>
      <c r="R10" s="14"/>
      <c r="S10" s="21"/>
      <c r="T10" s="22"/>
      <c r="U10" s="22"/>
      <c r="V10" s="22"/>
      <c r="W10" s="22"/>
      <c r="X10" s="22"/>
      <c r="Y10" s="20"/>
      <c r="Z10" s="14"/>
      <c r="AA10" s="21"/>
      <c r="AB10" s="22"/>
      <c r="AC10" s="22"/>
      <c r="AD10" s="22"/>
      <c r="AE10" s="22"/>
      <c r="AF10" s="22"/>
      <c r="AG10" s="20"/>
      <c r="AH10" s="14"/>
      <c r="AI10" s="14"/>
    </row>
    <row r="11" spans="1:37" x14ac:dyDescent="0.45">
      <c r="A11" s="14"/>
      <c r="B11" s="14"/>
      <c r="C11" s="23"/>
      <c r="D11" s="24" t="s">
        <v>245</v>
      </c>
      <c r="E11" s="25" t="s">
        <v>243</v>
      </c>
      <c r="F11" s="25"/>
      <c r="G11" s="46" t="str" cm="1">
        <f t="array" ref="G11">_xlfn.LET(
  _xlpm.x,   SUMPRODUCT((MONTH(financial_summary!B$2:B$13)&lt;=6)*financial_summary!D$2:D$13),
  _xlpm.tot, financial_summary!D$14,
  _xlpm.pct, _xlpm.x/_xlpm.tot,
  _xlfn.LET(_xlpm.fmt,
    IF(_xlpm.x&gt;=1000000, TEXT(_xlpm.x/1000000,"0.0")&amp;"M",
    IF(_xlpm.x&gt;=1000,    TEXT(_xlpm.x/1000,   "0.0")&amp;"K",
                   TEXT(_xlpm.x,        "0"))),
  _xlpm.fmt &amp; "  " &amp; TEXT(_xlpm.pct,"0%")
))</f>
        <v>1.1M  46%</v>
      </c>
      <c r="H11" s="26"/>
      <c r="I11" s="20"/>
      <c r="J11" s="14"/>
      <c r="K11" s="23"/>
      <c r="L11" s="24" t="s">
        <v>245</v>
      </c>
      <c r="M11" s="25" t="s">
        <v>243</v>
      </c>
      <c r="N11" s="25"/>
      <c r="O11" s="46" t="str" cm="1">
        <f t="array" ref="O11">_xlfn.LET(
  _xlpm.x,   SUMPRODUCT((MONTH(financial_summary!B$2:B$13)&lt;=6)*financial_summary!E$2:E$13),
  _xlpm.tot, financial_summary!E$14,
  _xlpm.pct, _xlpm.x/_xlpm.tot,
  _xlfn.LET(_xlpm.fmt,
    IF(_xlpm.x&gt;=1000000, TEXT(_xlpm.x/1000000,"0.0")&amp;"M",
    IF(_xlpm.x&gt;=1000,    TEXT(_xlpm.x/1000,   "0.0")&amp;"K",
                   TEXT(_xlpm.x,        "0"))),
  _xlpm.fmt &amp; "  " &amp; TEXT(_xlpm.pct,"0%")
))</f>
        <v>681.9K  45%</v>
      </c>
      <c r="P11" s="26"/>
      <c r="Q11" s="20"/>
      <c r="R11" s="14"/>
      <c r="S11" s="23"/>
      <c r="T11" s="24" t="s">
        <v>245</v>
      </c>
      <c r="U11" s="25" t="s">
        <v>243</v>
      </c>
      <c r="V11" s="25"/>
      <c r="W11" s="46" t="str" cm="1">
        <f t="array" ref="W11">_xlfn.LET(
  _xlpm.x,   SUMPRODUCT((MONTH(financial_summary!B$2:B$13)&lt;=6)*financial_summary!F$2:F$13),
  _xlpm.tot, financial_summary!F$14,
  _xlpm.pct, _xlpm.x/_xlpm.tot,
  _xlfn.LET(_xlpm.fmt,
    IF(_xlpm.x&gt;=1000000, TEXT(_xlpm.x/1000000,"0.0")&amp;"M",
    IF(_xlpm.x&gt;=1000,    TEXT(_xlpm.x/1000,   "0.0")&amp;"K",
                   TEXT(_xlpm.x,        "0"))),
  _xlpm.fmt &amp; "  " &amp; TEXT(_xlpm.pct,"0%")
))</f>
        <v>461.0K  47%</v>
      </c>
      <c r="X11" s="26"/>
      <c r="Y11" s="20"/>
      <c r="Z11" s="14"/>
      <c r="AA11" s="23"/>
      <c r="AB11" s="24" t="s">
        <v>245</v>
      </c>
      <c r="AC11" s="25" t="s">
        <v>243</v>
      </c>
      <c r="AD11" s="25"/>
      <c r="AE11" s="46" t="str" cm="1">
        <f t="array" ref="AE11">_xlfn.LET(
  _xlpm.gp,  SUMPRODUCT((MONTH(financial_summary!B$2:B$13)&lt;=6)*financial_summary!F$2:F$13),
  _xlpm.rev, SUMPRODUCT((MONTH(financial_summary!B$2:B$13)&lt;=6)*financial_summary!D$2:D$13),
  TEXT(_xlpm.gp/_xlpm.rev,"0%")
)</f>
        <v>40%</v>
      </c>
      <c r="AF11" s="26"/>
      <c r="AG11" s="20"/>
      <c r="AH11" s="14"/>
      <c r="AI11" s="14"/>
    </row>
    <row r="12" spans="1:37" x14ac:dyDescent="0.45">
      <c r="A12" s="14"/>
      <c r="B12" s="14"/>
      <c r="C12" s="23"/>
      <c r="D12" s="24" t="s">
        <v>246</v>
      </c>
      <c r="E12" s="25" t="s">
        <v>243</v>
      </c>
      <c r="F12" s="25"/>
      <c r="G12" s="46" t="str" cm="1">
        <f t="array" ref="G12">_xlfn.LET(
  _xlpm.x,   SUMPRODUCT((MONTH(financial_summary!B$2:B$13)&gt;6)*financial_summary!D$2:D$13),
  _xlpm.tot, financial_summary!D$14,
  _xlpm.pct, _xlpm.x/_xlpm.tot,
  _xlfn.LET(_xlpm.fmt,
    IF(_xlpm.x&gt;=1000000, TEXT(_xlpm.x/1000000,"0.0")&amp;"M",
    IF(_xlpm.x&gt;=1000,    TEXT(_xlpm.x/1000,   "0.0")&amp;"K",
                   TEXT(_xlpm.x,        "0"))),
  _xlpm.fmt &amp; "  " &amp; TEXT(_xlpm.pct,"0%")
))</f>
        <v>1.3M  54%</v>
      </c>
      <c r="H12" s="26"/>
      <c r="I12" s="20"/>
      <c r="J12" s="14"/>
      <c r="K12" s="23"/>
      <c r="L12" s="24" t="s">
        <v>246</v>
      </c>
      <c r="M12" s="25" t="s">
        <v>243</v>
      </c>
      <c r="N12" s="24"/>
      <c r="O12" s="46" t="str" cm="1">
        <f t="array" ref="O12">_xlfn.LET(
  _xlpm.x,   SUMPRODUCT((MONTH(financial_summary!B$2:B$13)&gt;6)*financial_summary!E$2:E$13),
  _xlpm.tot, financial_summary!E$14,
  _xlpm.pct, _xlpm.x/_xlpm.tot,
  _xlfn.LET(_xlpm.fmt,
    IF(_xlpm.x&gt;=1000000, TEXT(_xlpm.x/1000000,"0.0")&amp;"M",
    IF(_xlpm.x&gt;=1000,    TEXT(_xlpm.x/1000,   "0.0")&amp;"K",
                   TEXT(_xlpm.x,        "0"))),
  _xlpm.fmt &amp; "  " &amp; TEXT(_xlpm.pct,"0%")
))</f>
        <v>826.7K  55%</v>
      </c>
      <c r="P12" s="26"/>
      <c r="Q12" s="20"/>
      <c r="R12" s="14"/>
      <c r="S12" s="23"/>
      <c r="T12" s="24" t="s">
        <v>246</v>
      </c>
      <c r="U12" s="25" t="s">
        <v>243</v>
      </c>
      <c r="V12" s="24"/>
      <c r="W12" s="46" t="str" cm="1">
        <f t="array" ref="W12">_xlfn.LET(
  _xlpm.x,   SUMPRODUCT((MONTH(financial_summary!B$2:B$13)&gt;=6)*financial_summary!F$2:F$13),
  _xlpm.tot, financial_summary!F$14,
  _xlpm.pct, _xlpm.x/_xlpm.tot,
  _xlfn.LET(_xlpm.fmt,
    IF(_xlpm.x&gt;=1000000, TEXT(_xlpm.x/1000000,"0.0")&amp;"M",
    IF(_xlpm.x&gt;=1000,    TEXT(_xlpm.x/1000,   "0.0")&amp;"K",
                   TEXT(_xlpm.x,        "0"))),
  _xlpm.fmt &amp; "  " &amp; TEXT(_xlpm.pct,"0%")
))</f>
        <v>626.3K  64%</v>
      </c>
      <c r="X12" s="26"/>
      <c r="Y12" s="20"/>
      <c r="Z12" s="14"/>
      <c r="AA12" s="23"/>
      <c r="AB12" s="24" t="s">
        <v>246</v>
      </c>
      <c r="AC12" s="25" t="s">
        <v>243</v>
      </c>
      <c r="AD12" s="24"/>
      <c r="AE12" s="47" t="str" cm="1">
        <f t="array" ref="AE12">_xlfn.LET(
  _xlpm.gp,  SUMPRODUCT((MONTH(financial_summary!B$2:B$13)&gt;6)*financial_summary!F$2:F$13),
  _xlpm.rev, SUMPRODUCT((MONTH(financial_summary!B$2:B$13)&gt;6)*financial_summary!D$2:D$13),
  TEXT(_xlpm.gp/_xlpm.rev,"0%")
)</f>
        <v>38%</v>
      </c>
      <c r="AF12" s="26"/>
      <c r="AG12" s="20"/>
      <c r="AH12" s="14"/>
      <c r="AI12" s="14"/>
    </row>
    <row r="13" spans="1:37" x14ac:dyDescent="0.45">
      <c r="A13" s="14"/>
      <c r="B13" s="14"/>
      <c r="C13" s="23"/>
      <c r="D13" s="27"/>
      <c r="E13" s="27"/>
      <c r="F13" s="27"/>
      <c r="G13" s="27"/>
      <c r="H13" s="27"/>
      <c r="I13" s="20"/>
      <c r="J13" s="14"/>
      <c r="K13" s="23"/>
      <c r="L13" s="27"/>
      <c r="M13" s="27"/>
      <c r="N13" s="27"/>
      <c r="O13" s="27"/>
      <c r="P13" s="27"/>
      <c r="Q13" s="20"/>
      <c r="R13" s="14"/>
      <c r="S13" s="23"/>
      <c r="T13" s="27"/>
      <c r="U13" s="34"/>
      <c r="V13" s="34"/>
      <c r="W13" s="27"/>
      <c r="X13" s="27"/>
      <c r="Y13" s="20"/>
      <c r="Z13" s="14"/>
      <c r="AA13" s="23"/>
      <c r="AB13" s="27"/>
      <c r="AC13" s="34"/>
      <c r="AD13" s="34"/>
      <c r="AE13" s="27"/>
      <c r="AF13" s="27"/>
      <c r="AG13" s="20"/>
      <c r="AH13" s="14"/>
      <c r="AI13" s="14"/>
    </row>
    <row r="14" spans="1:37" x14ac:dyDescent="0.45">
      <c r="A14" s="14"/>
      <c r="B14" s="14"/>
      <c r="C14" s="23"/>
      <c r="D14" s="28" t="s">
        <v>244</v>
      </c>
      <c r="E14" s="51" t="str">
        <f>_xlfn.LET(
  _xlpm.kpi,    "revenue",
  _xlpm.actual, financial_summary[[#Totals],[revenue]],
  _xlpm.b,      _xlfn.XLOOKUP(_xlpm.kpi, benchmarks[KPI], benchmarks[benchmark]),
  _xlpm.s_exc,  _xlfn.XLOOKUP(_xlpm.kpi, benchmarks[KPI], benchmarks[thres_excellent]),
  _xlpm.s_good, _xlfn.XLOOKUP(_xlpm.kpi, benchmarks[KPI], benchmarks[thres_good]),
  _xlpm.s_neu,  _xlfn.XLOOKUP(_xlpm.kpi, benchmarks[KPI], benchmarks[thres_neutral]),
  _xlpm.s_warn, _xlfn.XLOOKUP(_xlpm.kpi, benchmarks[KPI], benchmarks[thres_warning]),
  _xlpm.dir,    _xlfn.XLOOKUP(_xlpm.kpi, benchmarks[KPI], benchmarks[direction]),
  _xlpm.gap,    IF(_xlpm.dir="higher better", (_xlpm.actual-_xlpm.b)/ABS(_xlpm.b), (_xlpm.b-_xlpm.actual)/ABS(_xlpm.b)),
  IF(_xlpm.gap&gt;=_xlpm.s_exc,  "Excellent",
  IF(_xlpm.gap&gt;=_xlpm.s_good, "Good",
  IF(_xlpm.gap&gt;=_xlpm.s_neu,  "Neutral",
  IF(_xlpm.gap&gt;=_xlpm.s_warn, "Warning", "Critical"))))
)</f>
        <v>Good</v>
      </c>
      <c r="F14" s="51"/>
      <c r="G14" s="51"/>
      <c r="H14" s="51"/>
      <c r="I14" s="20"/>
      <c r="J14" s="14"/>
      <c r="K14" s="23"/>
      <c r="L14" s="28" t="s">
        <v>244</v>
      </c>
      <c r="M14" s="51" t="str">
        <f>_xlfn.LET(
  _xlpm.kpi,    "cogs",
  _xlpm.actual, financial_summary[[#Totals],[cogs]],
  _xlpm.b,      _xlfn.XLOOKUP(_xlpm.kpi, benchmarks[KPI], benchmarks[benchmark]),
  _xlpm.s_exc,  _xlfn.XLOOKUP(_xlpm.kpi, benchmarks[KPI], benchmarks[thres_excellent]),
  _xlpm.s_good, _xlfn.XLOOKUP(_xlpm.kpi, benchmarks[KPI], benchmarks[thres_good]),
  _xlpm.s_neu,  _xlfn.XLOOKUP(_xlpm.kpi, benchmarks[KPI], benchmarks[thres_neutral]),
  _xlpm.s_warn, _xlfn.XLOOKUP(_xlpm.kpi, benchmarks[KPI], benchmarks[thres_warning]),
  _xlpm.dir,    _xlfn.XLOOKUP(_xlpm.kpi, benchmarks[KPI], benchmarks[direction]),
  _xlpm.gap,    IF(_xlpm.dir="higher better", (_xlpm.actual-_xlpm.b)/ABS(_xlpm.b), (_xlpm.b-_xlpm.actual)/ABS(_xlpm.b)),
  IF(_xlpm.gap&gt;=_xlpm.s_exc,  "Excellent",
  IF(_xlpm.gap&gt;=_xlpm.s_good, "Good",
  IF(_xlpm.gap&gt;=_xlpm.s_neu,  "Neutral",
  IF(_xlpm.gap&gt;=_xlpm.s_warn, "Warning", "Critical"))))
)</f>
        <v>Critical</v>
      </c>
      <c r="N14" s="51"/>
      <c r="O14" s="51"/>
      <c r="P14" s="51"/>
      <c r="Q14" s="20"/>
      <c r="R14" s="14"/>
      <c r="S14" s="23"/>
      <c r="T14" s="28" t="s">
        <v>244</v>
      </c>
      <c r="U14" s="51" t="str">
        <f>_xlfn.LET(
  _xlpm.kpi,    "gross_profit",
  _xlpm.actual, financial_summary[[#Totals],[gross_profit]],
  _xlpm.b,      _xlfn.XLOOKUP(_xlpm.kpi, benchmarks[KPI], benchmarks[benchmark]),
  _xlpm.s_exc,  _xlfn.XLOOKUP(_xlpm.kpi, benchmarks[KPI], benchmarks[thres_excellent]),
  _xlpm.s_good, _xlfn.XLOOKUP(_xlpm.kpi, benchmarks[KPI], benchmarks[thres_good]),
  _xlpm.s_neu,  _xlfn.XLOOKUP(_xlpm.kpi, benchmarks[KPI], benchmarks[thres_neutral]),
  _xlpm.s_warn, _xlfn.XLOOKUP(_xlpm.kpi, benchmarks[KPI], benchmarks[thres_warning]),
  _xlpm.dir,    _xlfn.XLOOKUP(_xlpm.kpi, benchmarks[KPI], benchmarks[direction]),
  _xlpm.gap,    IF(_xlpm.dir="higher better", (_xlpm.actual-_xlpm.b)/ABS(_xlpm.b), (_xlpm.b-_xlpm.actual)/ABS(_xlpm.b)),
  IF(_xlpm.gap&gt;=_xlpm.s_exc,  "Excellent",
  IF(_xlpm.gap&gt;=_xlpm.s_good, "Good",
  IF(_xlpm.gap&gt;=_xlpm.s_neu,  "Neutral",
  IF(_xlpm.gap&gt;=_xlpm.s_warn, "Warning", "Critical"))))
)</f>
        <v>Neutral</v>
      </c>
      <c r="V14" s="51"/>
      <c r="W14" s="51"/>
      <c r="X14" s="51"/>
      <c r="Y14" s="20"/>
      <c r="Z14" s="14"/>
      <c r="AA14" s="23"/>
      <c r="AB14" s="28" t="s">
        <v>244</v>
      </c>
      <c r="AC14" s="51" t="str">
        <f>_xlfn.LET(
  _xlpm.kpi,    "gross_margin",
  _xlpm.actual, financial_summary[[#Totals],[gross_margin]],
  _xlpm.b,      _xlfn.XLOOKUP(_xlpm.kpi, benchmarks[KPI], benchmarks[benchmark]),
  _xlpm.s_exc,  _xlfn.XLOOKUP(_xlpm.kpi, benchmarks[KPI], benchmarks[thres_excellent]),
  _xlpm.s_good, _xlfn.XLOOKUP(_xlpm.kpi, benchmarks[KPI], benchmarks[thres_good]),
  _xlpm.s_neu,  _xlfn.XLOOKUP(_xlpm.kpi, benchmarks[KPI], benchmarks[thres_neutral]),
  _xlpm.s_warn, _xlfn.XLOOKUP(_xlpm.kpi, benchmarks[KPI], benchmarks[thres_warning]),
  _xlpm.dir,    _xlfn.XLOOKUP(_xlpm.kpi, benchmarks[KPI], benchmarks[direction]),
  _xlpm.gap,    IF(_xlpm.dir="higher better", (_xlpm.actual-_xlpm.b)/ABS(_xlpm.b), (_xlpm.b-_xlpm.actual)/ABS(_xlpm.b)),
  IF(_xlpm.gap&gt;=_xlpm.s_exc,  "Excellent",
  IF(_xlpm.gap&gt;=_xlpm.s_good, "Good",
  IF(_xlpm.gap&gt;=_xlpm.s_neu,  "Neutral",
  IF(_xlpm.gap&gt;=_xlpm.s_warn, "Warning", "Critical"))))
)</f>
        <v>Neutral</v>
      </c>
      <c r="AD14" s="51"/>
      <c r="AE14" s="51"/>
      <c r="AF14" s="51"/>
      <c r="AG14" s="20"/>
      <c r="AH14" s="14"/>
      <c r="AI14" s="14"/>
    </row>
    <row r="15" spans="1:37" x14ac:dyDescent="0.45">
      <c r="A15" s="14"/>
      <c r="B15" s="14"/>
      <c r="C15" s="23"/>
      <c r="D15" s="27"/>
      <c r="E15" s="29"/>
      <c r="F15" s="29"/>
      <c r="G15" s="29"/>
      <c r="H15" s="29"/>
      <c r="I15" s="20"/>
      <c r="J15" s="14"/>
      <c r="K15" s="23"/>
      <c r="L15" s="27"/>
      <c r="M15" s="27"/>
      <c r="N15" s="27"/>
      <c r="O15" s="29"/>
      <c r="P15" s="29"/>
      <c r="Q15" s="20"/>
      <c r="R15" s="14"/>
      <c r="S15" s="23"/>
      <c r="T15" s="27"/>
      <c r="U15" s="34"/>
      <c r="V15" s="34"/>
      <c r="W15" s="29"/>
      <c r="X15" s="29"/>
      <c r="Y15" s="20"/>
      <c r="Z15" s="14"/>
      <c r="AA15" s="23"/>
      <c r="AB15" s="27"/>
      <c r="AC15" s="34"/>
      <c r="AD15" s="34"/>
      <c r="AE15" s="29"/>
      <c r="AF15" s="29"/>
      <c r="AG15" s="20"/>
      <c r="AH15" s="14"/>
      <c r="AI15" s="14"/>
    </row>
    <row r="16" spans="1:37" x14ac:dyDescent="0.45">
      <c r="A16" s="14"/>
      <c r="B16" s="14"/>
      <c r="C16" s="31"/>
      <c r="D16" s="32"/>
      <c r="E16" s="32"/>
      <c r="F16" s="32"/>
      <c r="G16" s="32"/>
      <c r="H16" s="32"/>
      <c r="I16" s="33"/>
      <c r="J16" s="14"/>
      <c r="K16" s="31"/>
      <c r="L16" s="32"/>
      <c r="M16" s="32"/>
      <c r="N16" s="32"/>
      <c r="O16" s="32"/>
      <c r="P16" s="32"/>
      <c r="Q16" s="33"/>
      <c r="R16" s="14"/>
      <c r="S16" s="31"/>
      <c r="T16" s="32"/>
      <c r="U16" s="32"/>
      <c r="V16" s="32"/>
      <c r="W16" s="32"/>
      <c r="X16" s="32"/>
      <c r="Y16" s="33"/>
      <c r="Z16" s="14"/>
      <c r="AA16" s="31"/>
      <c r="AB16" s="32"/>
      <c r="AC16" s="32"/>
      <c r="AD16" s="32"/>
      <c r="AE16" s="32"/>
      <c r="AF16" s="32"/>
      <c r="AG16" s="33"/>
      <c r="AH16" s="14"/>
      <c r="AI16" s="14"/>
    </row>
    <row r="17" spans="1:35" x14ac:dyDescent="0.45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</row>
    <row r="18" spans="1:35" ht="21.5" x14ac:dyDescent="0.55000000000000004">
      <c r="A18" s="14"/>
      <c r="B18" s="14"/>
      <c r="C18" s="15" t="s">
        <v>239</v>
      </c>
      <c r="D18" s="16"/>
      <c r="E18" s="16"/>
      <c r="F18" s="16"/>
      <c r="G18" s="16"/>
      <c r="H18" s="16"/>
      <c r="I18" s="17"/>
      <c r="J18" s="14"/>
      <c r="K18" s="15" t="s">
        <v>240</v>
      </c>
      <c r="L18" s="16"/>
      <c r="M18" s="16"/>
      <c r="N18" s="16"/>
      <c r="O18" s="16"/>
      <c r="P18" s="16"/>
      <c r="Q18" s="17"/>
      <c r="R18" s="14"/>
      <c r="S18" s="15" t="s">
        <v>241</v>
      </c>
      <c r="T18" s="16"/>
      <c r="U18" s="16"/>
      <c r="V18" s="16"/>
      <c r="W18" s="16"/>
      <c r="X18" s="16"/>
      <c r="Y18" s="17"/>
      <c r="Z18" s="14"/>
      <c r="AA18" s="15" t="s">
        <v>242</v>
      </c>
      <c r="AB18" s="16"/>
      <c r="AC18" s="16"/>
      <c r="AD18" s="16"/>
      <c r="AE18" s="16"/>
      <c r="AF18" s="16"/>
      <c r="AG18" s="17"/>
      <c r="AH18" s="14"/>
      <c r="AI18" s="14"/>
    </row>
    <row r="19" spans="1:35" ht="17.2" customHeight="1" x14ac:dyDescent="0.45">
      <c r="A19" s="14"/>
      <c r="B19" s="14"/>
      <c r="C19" s="18" t="str">
        <f>_xlfn.LET(_xlpm.x, financial_summary!H14,
IF(ABS(_xlpm.x)&gt;=1000000,
    IF(_xlpm.x&lt;0, "("&amp;TEXT(ABS(_xlpm.x)/1000000,"0.0")&amp;"M)", TEXT(_xlpm.x/1000000,"0.0")&amp;"M"),
  IF(ABS(_xlpm.x)&gt;=1000,
    IF(_xlpm.x&lt;0, "("&amp;TEXT(ABS(_xlpm.x)/1000,"0.0")&amp;"K)", TEXT(_xlpm.x/1000,"0.0")&amp;"K"),
  TEXT(_xlpm.x,"0"))))</f>
        <v>4.6M</v>
      </c>
      <c r="D19" s="19"/>
      <c r="E19" s="19"/>
      <c r="F19" s="19"/>
      <c r="G19" s="19"/>
      <c r="H19" s="19"/>
      <c r="I19" s="20"/>
      <c r="J19" s="14"/>
      <c r="K19" s="18" t="str">
        <f>_xlfn.LET(_xlpm.x, financial_summary!I14,
   IF(ABS(_xlpm.x)&gt;=1000000,
    IF(_xlpm.x&lt;0, "("&amp;TEXT(ABS(_xlpm.x)/1000000,"0.0")&amp;"M)", TEXT(_xlpm.x/1000000,"0.0")&amp;"M"),
  IF(ABS(_xlpm.x)&gt;=1000,
    IF(_xlpm.x&lt;0, "("&amp;TEXT(ABS(_xlpm.x)/1000,"0.0")&amp;"K)", TEXT(_xlpm.x/1000,"0.0")&amp;"K"),
  TEXT(_xlpm.x,"0"))))</f>
        <v>(3.6M)</v>
      </c>
      <c r="L19" s="19"/>
      <c r="M19" s="19"/>
      <c r="N19" s="19"/>
      <c r="O19" s="19"/>
      <c r="P19" s="19"/>
      <c r="Q19" s="20"/>
      <c r="R19" s="14"/>
      <c r="S19" s="18" t="str">
        <f>_xlfn.LET(_xlpm.x, financial_summary!L14,
   IF(ABS(_xlpm.x)&gt;=1000000,
    IF(_xlpm.x&lt;0, "("&amp;TEXT(ABS(_xlpm.x)/1000000,"0.0")&amp;"M)", TEXT(_xlpm.x/1000000,"0.0")&amp;"M"),
  IF(ABS(_xlpm.x)&gt;=1000,
    IF(_xlpm.x&lt;0, "("&amp;TEXT(ABS(_xlpm.x)/1000,"0.0")&amp;"K)", TEXT(_xlpm.x/1000,"0.0")&amp;"K"),
  TEXT(_xlpm.x,"0"))))</f>
        <v>(473.8K)</v>
      </c>
      <c r="T19" s="19"/>
      <c r="U19" s="19"/>
      <c r="V19" s="19"/>
      <c r="W19" s="19"/>
      <c r="X19" s="19"/>
      <c r="Y19" s="20"/>
      <c r="Z19" s="14"/>
      <c r="AA19" s="18" t="str">
        <f>_xlfn.LET(_xlpm.x, financial_summary!M13,
   IF(ABS(_xlpm.x)&gt;=1000000,
    IF(_xlpm.x&lt;0, "("&amp;TEXT(ABS(_xlpm.x)/1000000,"0.0")&amp;"M)", TEXT(_xlpm.x/1000000,"0.0")&amp;"M"),
  IF(ABS(_xlpm.x)&gt;=1000,
    IF(_xlpm.x&lt;0, "("&amp;TEXT(ABS(_xlpm.x)/1000,"0.0")&amp;"K)", TEXT(_xlpm.x/1000,"0.0")&amp;"K"),
  TEXT(_xlpm.x,"0"))))</f>
        <v>726.2K</v>
      </c>
      <c r="AB19" s="19"/>
      <c r="AC19" s="19"/>
      <c r="AD19" s="19"/>
      <c r="AE19" s="19"/>
      <c r="AF19" s="19"/>
      <c r="AG19" s="20"/>
      <c r="AH19" s="14"/>
      <c r="AI19" s="14"/>
    </row>
    <row r="20" spans="1:35" ht="17.2" customHeight="1" x14ac:dyDescent="0.45">
      <c r="A20" s="14"/>
      <c r="B20" s="14"/>
      <c r="C20" s="18"/>
      <c r="D20" s="19"/>
      <c r="E20" s="19"/>
      <c r="F20" s="19"/>
      <c r="G20" s="19"/>
      <c r="H20" s="19"/>
      <c r="I20" s="20"/>
      <c r="J20" s="14"/>
      <c r="K20" s="18"/>
      <c r="L20" s="19"/>
      <c r="M20" s="19"/>
      <c r="N20" s="19"/>
      <c r="O20" s="19"/>
      <c r="P20" s="19"/>
      <c r="Q20" s="20"/>
      <c r="R20" s="14"/>
      <c r="S20" s="18"/>
      <c r="T20" s="19"/>
      <c r="U20" s="19"/>
      <c r="V20" s="19"/>
      <c r="W20" s="19"/>
      <c r="X20" s="19"/>
      <c r="Y20" s="20"/>
      <c r="Z20" s="14"/>
      <c r="AA20" s="18"/>
      <c r="AB20" s="19"/>
      <c r="AC20" s="19"/>
      <c r="AD20" s="19"/>
      <c r="AE20" s="19"/>
      <c r="AF20" s="19"/>
      <c r="AG20" s="20"/>
      <c r="AH20" s="14"/>
      <c r="AI20" s="14"/>
    </row>
    <row r="21" spans="1:35" ht="17.2" customHeight="1" x14ac:dyDescent="0.45">
      <c r="A21" s="14"/>
      <c r="B21" s="14"/>
      <c r="C21" s="18"/>
      <c r="D21" s="19"/>
      <c r="E21" s="19"/>
      <c r="F21" s="19"/>
      <c r="G21" s="19"/>
      <c r="H21" s="19"/>
      <c r="I21" s="20"/>
      <c r="J21" s="14"/>
      <c r="K21" s="18"/>
      <c r="L21" s="19"/>
      <c r="M21" s="19"/>
      <c r="N21" s="19"/>
      <c r="O21" s="19"/>
      <c r="P21" s="19"/>
      <c r="Q21" s="20"/>
      <c r="R21" s="14"/>
      <c r="S21" s="18"/>
      <c r="T21" s="19"/>
      <c r="U21" s="19"/>
      <c r="V21" s="19"/>
      <c r="W21" s="19"/>
      <c r="X21" s="19"/>
      <c r="Y21" s="20"/>
      <c r="Z21" s="14"/>
      <c r="AA21" s="18"/>
      <c r="AB21" s="19"/>
      <c r="AC21" s="19"/>
      <c r="AD21" s="19"/>
      <c r="AE21" s="19"/>
      <c r="AF21" s="19"/>
      <c r="AG21" s="20"/>
      <c r="AH21" s="14"/>
      <c r="AI21" s="14"/>
    </row>
    <row r="22" spans="1:35" x14ac:dyDescent="0.45">
      <c r="A22" s="14"/>
      <c r="B22" s="14"/>
      <c r="C22" s="23"/>
      <c r="D22" s="27"/>
      <c r="E22" s="34"/>
      <c r="F22" s="34"/>
      <c r="G22" s="27"/>
      <c r="H22" s="27"/>
      <c r="I22" s="20"/>
      <c r="J22" s="14"/>
      <c r="K22" s="23"/>
      <c r="L22" s="27"/>
      <c r="M22" s="34"/>
      <c r="N22" s="34"/>
      <c r="O22" s="27"/>
      <c r="P22" s="27"/>
      <c r="Q22" s="20"/>
      <c r="R22" s="14"/>
      <c r="S22" s="23"/>
      <c r="T22" s="27"/>
      <c r="U22" s="34"/>
      <c r="V22" s="34"/>
      <c r="W22" s="27"/>
      <c r="X22" s="27"/>
      <c r="Y22" s="20"/>
      <c r="Z22" s="14"/>
      <c r="AA22" s="23"/>
      <c r="AB22" s="27"/>
      <c r="AC22" s="27"/>
      <c r="AD22" s="27"/>
      <c r="AE22" s="27"/>
      <c r="AF22" s="27"/>
      <c r="AG22" s="20"/>
      <c r="AH22" s="14"/>
      <c r="AI22" s="14"/>
    </row>
    <row r="23" spans="1:35" x14ac:dyDescent="0.45">
      <c r="A23" s="14"/>
      <c r="B23" s="14"/>
      <c r="C23" s="23"/>
      <c r="D23" s="24" t="s">
        <v>245</v>
      </c>
      <c r="E23" s="25" t="s">
        <v>243</v>
      </c>
      <c r="F23" s="34"/>
      <c r="G23" s="48" t="str" cm="1">
        <f t="array" ref="G23">_xlfn.LET(
  _xlpm.x,   SUMPRODUCT((MONTH(financial_summary!B$2:B$13)&lt;=6)*financial_summary!H$2:H$13),
  _xlpm.tot, financial_summary!H$14,
  _xlpm.pct, _xlpm.x/_xlpm.tot,
  _xlfn.LET(_xlpm.fmt,
    IF(_xlpm.x&gt;=1000000, TEXT(_xlpm.x/1000000,"0.0")&amp;"M",
    IF(_xlpm.x&gt;=1000,    TEXT(_xlpm.x/1000,   "0.0")&amp;"K",
                   TEXT(_xlpm.x,        "0"))),
  _xlpm.fmt &amp; "  " &amp; TEXT(_xlpm.pct,"0%")
))</f>
        <v>2.9M  65%</v>
      </c>
      <c r="H23" s="30"/>
      <c r="I23" s="20"/>
      <c r="J23" s="14"/>
      <c r="K23" s="23"/>
      <c r="L23" s="24" t="s">
        <v>245</v>
      </c>
      <c r="M23" s="25" t="s">
        <v>243</v>
      </c>
      <c r="N23" s="34"/>
      <c r="O23" s="48" t="str" cm="1">
        <f t="array" ref="O23">_xlfn.LET(
  _xlpm.x,   SUMPRODUCT((MONTH(financial_summary!B$2:B$13)&lt;=6)*financial_summary!I$2:I$13),
  _xlpm.tot, financial_summary!I$14,
  _xlpm.pct, _xlpm.x/_xlpm.tot,
  _xlfn.LET(
    _xlpm.ax, ABS(_xlpm.x),
    _xlpm.fmt, IF(_xlpm.ax&gt;=1000000, TEXT(_xlpm.ax/1000000,"0.0")&amp;"M",
         IF(_xlpm.ax&gt;=1000,    TEXT(_xlpm.ax/1000,   "0.0")&amp;"K",
                         TEXT(_xlpm.ax,        "0"))),
    _xlpm.val, IF(_xlpm.x&lt;0, "("&amp;_xlpm.fmt&amp;")", _xlpm.fmt),
    _xlpm.val &amp; "  " &amp; TEXT(_xlpm.pct,"0%")
  )
)</f>
        <v>(2.5M)  69%</v>
      </c>
      <c r="P23" s="30"/>
      <c r="Q23" s="20"/>
      <c r="R23" s="14"/>
      <c r="S23" s="23"/>
      <c r="T23" s="24" t="s">
        <v>245</v>
      </c>
      <c r="U23" s="25" t="s">
        <v>243</v>
      </c>
      <c r="V23" s="34"/>
      <c r="W23" s="48" t="str" cm="1">
        <f t="array" ref="W23">_xlfn.LET(
  _xlpm.x,   SUMPRODUCT((MONTH(financial_summary!B$2:B$13)&lt;=6)*financial_summary!L$2:L$13),
  _xlpm.tot, financial_summary!L$14,
  _xlpm.pct, _xlpm.x/_xlpm.tot,
  _xlfn.LET(
    _xlpm.ax, ABS(_xlpm.x),
    _xlpm.fmt, IF(_xlpm.ax&gt;=1000000, TEXT(_xlpm.ax/1000000,"0.0")&amp;"M",
         IF(_xlpm.ax&gt;=1000,    TEXT(_xlpm.ax/1000,   "0.0")&amp;"K",
                         TEXT(_xlpm.ax,        "0"))),
    _xlpm.val, IF(_xlpm.x&lt;0, "("&amp;_xlpm.fmt&amp;")", _xlpm.fmt),
    _xlpm.val &amp; "  " &amp; TEXT(_xlpm.pct,"0%")
  )
)</f>
        <v>(342.9K)  72%</v>
      </c>
      <c r="X23" s="30"/>
      <c r="Y23" s="20"/>
      <c r="Z23" s="14"/>
      <c r="AA23" s="23"/>
      <c r="AB23" s="24" t="s">
        <v>245</v>
      </c>
      <c r="AC23" s="25" t="s">
        <v>243</v>
      </c>
      <c r="AD23" s="34"/>
      <c r="AE23" s="49" t="str" cm="1">
        <f t="array" ref="AE23">_xlfn.LET(
  _xlpm.start, SUMPRODUCT((MONTH(financial_summary!B$2:B$13)=1)*financial_summary!M$2:M$13),
  _xlpm.end,   SUMPRODUCT((MONTH(financial_summary!B$2:B$13)=6)*financial_summary!M$2:M$13),
  TEXT((_xlpm.end-_xlpm.start)/ABS(_xlpm.start),"0%")
)</f>
        <v>-21%</v>
      </c>
      <c r="AF23" s="30"/>
      <c r="AG23" s="20"/>
      <c r="AH23" s="14"/>
      <c r="AI23" s="14"/>
    </row>
    <row r="24" spans="1:35" x14ac:dyDescent="0.45">
      <c r="A24" s="14"/>
      <c r="B24" s="14"/>
      <c r="C24" s="23"/>
      <c r="D24" s="24" t="s">
        <v>246</v>
      </c>
      <c r="E24" s="25" t="s">
        <v>243</v>
      </c>
      <c r="F24" s="34"/>
      <c r="G24" s="49" t="str" cm="1">
        <f t="array" ref="G24">_xlfn.LET(
  _xlpm.x,   SUMPRODUCT((MONTH(financial_summary!B$2:B$13)&gt;6)*financial_summary!H$2:H$13),
  _xlpm.tot, financial_summary!H$14,
  _xlpm.pct, _xlpm.x/_xlpm.tot,
  _xlfn.LET(_xlpm.fmt,
    IF(_xlpm.x&gt;=1000000, TEXT(_xlpm.x/1000000,"0.0")&amp;"M",
    IF(_xlpm.x&gt;=1000,    TEXT(_xlpm.x/1000,   "0.0")&amp;"K",
                   TEXT(_xlpm.x,        "0"))),
  _xlpm.fmt &amp; "  " &amp; TEXT(_xlpm.pct,"0%")
))</f>
        <v>1.6M  35%</v>
      </c>
      <c r="H24" s="30"/>
      <c r="I24" s="20"/>
      <c r="J24" s="14"/>
      <c r="K24" s="23"/>
      <c r="L24" s="24" t="s">
        <v>246</v>
      </c>
      <c r="M24" s="25" t="s">
        <v>243</v>
      </c>
      <c r="N24" s="34"/>
      <c r="O24" s="49" t="str" cm="1">
        <f t="array" ref="O24">_xlfn.LET(
  _xlpm.x,   SUMPRODUCT((MONTH(financial_summary!B$2:B$13)&gt;6)*financial_summary!I$2:I$13),
  _xlpm.tot, financial_summary!I$14,
  _xlpm.pct, _xlpm.x/_xlpm.tot,
  _xlfn.LET(
    _xlpm.ax, ABS(_xlpm.x),
    _xlpm.fmt, IF(_xlpm.ax&gt;=1000000, TEXT(_xlpm.ax/1000000,"0.0")&amp;"M",
         IF(_xlpm.ax&gt;=1000,    TEXT(_xlpm.ax/1000,   "0.0")&amp;"K",
                         TEXT(_xlpm.ax,        "0"))),
    _xlpm.val, IF(_xlpm.x&lt;0, "("&amp;_xlpm.fmt&amp;")", _xlpm.fmt),
    _xlpm.val &amp; "  " &amp; TEXT(_xlpm.pct,"0%")
  )
)</f>
        <v>(1.1M)  31%</v>
      </c>
      <c r="P24" s="30"/>
      <c r="Q24" s="20"/>
      <c r="R24" s="14"/>
      <c r="S24" s="23"/>
      <c r="T24" s="24" t="s">
        <v>246</v>
      </c>
      <c r="U24" s="25" t="s">
        <v>243</v>
      </c>
      <c r="V24" s="34"/>
      <c r="W24" s="49" t="str" cm="1">
        <f t="array" ref="W24">_xlfn.LET(
  _xlpm.x,   SUMPRODUCT((MONTH(financial_summary!B$2:B$13)&gt;6)*financial_summary!L$2:L$13),
  _xlpm.tot, financial_summary!L$14,
  _xlpm.pct, _xlpm.x/_xlpm.tot,
  _xlfn.LET(
    _xlpm.ax, ABS(_xlpm.x),
    _xlpm.fmt, IF(_xlpm.ax&gt;=1000000, TEXT(_xlpm.ax/1000000,"0.0")&amp;"M",
         IF(_xlpm.ax&gt;=1000,    TEXT(_xlpm.ax/1000,   "0.0")&amp;"K",
                         TEXT(_xlpm.ax,        "0"))),
    _xlpm.val, IF(_xlpm.x&lt;0, "("&amp;_xlpm.fmt&amp;")", _xlpm.fmt),
    _xlpm.val &amp; "  " &amp; TEXT(_xlpm.pct,"0%")
  )
)</f>
        <v>(131.0K)  28%</v>
      </c>
      <c r="X24" s="30"/>
      <c r="Y24" s="20"/>
      <c r="Z24" s="14"/>
      <c r="AA24" s="23"/>
      <c r="AB24" s="24" t="s">
        <v>246</v>
      </c>
      <c r="AC24" s="25" t="s">
        <v>243</v>
      </c>
      <c r="AD24" s="34"/>
      <c r="AE24" s="49" t="str" cm="1">
        <f t="array" ref="AE24">_xlfn.LET(
  _xlpm.start, SUMPRODUCT((MONTH(financial_summary!B$2:B$13)=7)*financial_summary!M$2:M$13),
  _xlpm.end,   SUMPRODUCT((MONTH(financial_summary!B$2:B$13)=12)*financial_summary!M$2:M$13),
  TEXT((_xlpm.end-_xlpm.start)/ABS(_xlpm.start),"0%")
)</f>
        <v>-25%</v>
      </c>
      <c r="AF24" s="30"/>
      <c r="AG24" s="20"/>
      <c r="AH24" s="14"/>
      <c r="AI24" s="14"/>
    </row>
    <row r="25" spans="1:35" x14ac:dyDescent="0.45">
      <c r="A25" s="14"/>
      <c r="B25" s="14"/>
      <c r="C25" s="23"/>
      <c r="D25" s="27"/>
      <c r="E25" s="34"/>
      <c r="F25" s="34"/>
      <c r="G25" s="27"/>
      <c r="H25" s="27"/>
      <c r="I25" s="20"/>
      <c r="J25" s="14"/>
      <c r="K25" s="23"/>
      <c r="L25" s="27"/>
      <c r="M25" s="34"/>
      <c r="N25" s="34"/>
      <c r="O25" s="27"/>
      <c r="P25" s="27"/>
      <c r="Q25" s="20"/>
      <c r="R25" s="14"/>
      <c r="S25" s="23"/>
      <c r="T25" s="27"/>
      <c r="U25" s="34"/>
      <c r="V25" s="34"/>
      <c r="W25" s="27"/>
      <c r="X25" s="27"/>
      <c r="Y25" s="20"/>
      <c r="Z25" s="14"/>
      <c r="AA25" s="23"/>
      <c r="AB25" s="27"/>
      <c r="AC25" s="34"/>
      <c r="AD25" s="34"/>
      <c r="AE25" s="27"/>
      <c r="AF25" s="27"/>
      <c r="AG25" s="20"/>
      <c r="AH25" s="14"/>
      <c r="AI25" s="14"/>
    </row>
    <row r="26" spans="1:35" x14ac:dyDescent="0.45">
      <c r="A26" s="14"/>
      <c r="B26" s="14"/>
      <c r="C26" s="23"/>
      <c r="D26" s="28" t="s">
        <v>244</v>
      </c>
      <c r="E26" s="51" t="str">
        <f>_xlfn.LET(
  _xlpm.kpi,    "opex",
  _xlpm.actual, financial_summary[[#Totals],[opex]],
  _xlpm.b,      _xlfn.XLOOKUP(_xlpm.kpi, benchmarks[KPI], benchmarks[benchmark]),
  _xlpm.s_exc,  _xlfn.XLOOKUP(_xlpm.kpi, benchmarks[KPI], benchmarks[thres_excellent]),
  _xlpm.s_good, _xlfn.XLOOKUP(_xlpm.kpi, benchmarks[KPI], benchmarks[thres_good]),
  _xlpm.s_neu,  _xlfn.XLOOKUP(_xlpm.kpi, benchmarks[KPI], benchmarks[thres_neutral]),
  _xlpm.s_warn, _xlfn.XLOOKUP(_xlpm.kpi, benchmarks[KPI], benchmarks[thres_warning]),
  _xlpm.dir,    _xlfn.XLOOKUP(_xlpm.kpi, benchmarks[KPI], benchmarks[direction]),
  _xlpm.gap,    IF(_xlpm.dir="higher better", (_xlpm.actual-_xlpm.b)/ABS(_xlpm.b), (_xlpm.b-_xlpm.actual)/ABS(_xlpm.b)),
  IF(_xlpm.gap&gt;=_xlpm.s_exc,  "Excellent",
  IF(_xlpm.gap&gt;=_xlpm.s_good, "Good",
  IF(_xlpm.gap&gt;=_xlpm.s_neu,  "Neutral",
  IF(_xlpm.gap&gt;=_xlpm.s_warn, "Warning", "Critical"))))
)</f>
        <v>Critical</v>
      </c>
      <c r="F26" s="51"/>
      <c r="G26" s="51"/>
      <c r="H26" s="51"/>
      <c r="I26" s="20"/>
      <c r="J26" s="14"/>
      <c r="K26" s="23"/>
      <c r="L26" s="28" t="s">
        <v>244</v>
      </c>
      <c r="M26" s="51" t="str">
        <f>_xlfn.LET(
  _xlpm.kpi,    "net_income",
  _xlpm.actual, financial_summary[[#Totals],[net_income]],
  _xlpm.b,      _xlfn.XLOOKUP(_xlpm.kpi, benchmarks[KPI], benchmarks[benchmark]),
  _xlpm.s_exc,  _xlfn.XLOOKUP(_xlpm.kpi, benchmarks[KPI], benchmarks[thres_excellent]),
  _xlpm.s_good, _xlfn.XLOOKUP(_xlpm.kpi, benchmarks[KPI], benchmarks[thres_good]),
  _xlpm.s_neu,  _xlfn.XLOOKUP(_xlpm.kpi, benchmarks[KPI], benchmarks[thres_neutral]),
  _xlpm.s_warn, _xlfn.XLOOKUP(_xlpm.kpi, benchmarks[KPI], benchmarks[thres_warning]),
  _xlpm.dir,    _xlfn.XLOOKUP(_xlpm.kpi, benchmarks[KPI], benchmarks[direction]),
  _xlpm.gap,    IF(_xlpm.dir="higher better", (_xlpm.actual-_xlpm.b)/ABS(_xlpm.b), (_xlpm.b-_xlpm.actual)/ABS(_xlpm.b)),
  IF(_xlpm.gap&gt;=_xlpm.s_exc,  "Excellent",
  IF(_xlpm.gap&gt;=_xlpm.s_good, "Good",
  IF(_xlpm.gap&gt;=_xlpm.s_neu,  "Neutral",
  IF(_xlpm.gap&gt;=_xlpm.s_warn, "Warning", "Critical"))))
)</f>
        <v>Critical</v>
      </c>
      <c r="N26" s="51"/>
      <c r="O26" s="51"/>
      <c r="P26" s="51"/>
      <c r="Q26" s="20"/>
      <c r="R26" s="14"/>
      <c r="S26" s="23"/>
      <c r="T26" s="28" t="s">
        <v>244</v>
      </c>
      <c r="U26" s="51" t="str">
        <f>_xlfn.LET(
  _xlpm.kpi,    "cash_flow",
  _xlpm.actual, financial_summary[[#Totals],[net_cash_flow]],
  _xlpm.b,      _xlfn.XLOOKUP(_xlpm.kpi, benchmarks[KPI], benchmarks[benchmark]),
  _xlpm.s_exc,  _xlfn.XLOOKUP(_xlpm.kpi, benchmarks[KPI], benchmarks[thres_excellent]),
  _xlpm.s_good, _xlfn.XLOOKUP(_xlpm.kpi, benchmarks[KPI], benchmarks[thres_good]),
  _xlpm.s_neu,  _xlfn.XLOOKUP(_xlpm.kpi, benchmarks[KPI], benchmarks[thres_neutral]),
  _xlpm.s_warn, _xlfn.XLOOKUP(_xlpm.kpi, benchmarks[KPI], benchmarks[thres_warning]),
  _xlpm.dir,    _xlfn.XLOOKUP(_xlpm.kpi, benchmarks[KPI], benchmarks[direction]),
  _xlpm.gap,    IF(_xlpm.dir="higher better", (_xlpm.actual-_xlpm.b)/ABS(_xlpm.b), (_xlpm.b-_xlpm.actual)/ABS(_xlpm.b)),
  IF(_xlpm.gap&gt;=_xlpm.s_exc,  "Excellent",
  IF(_xlpm.gap&gt;=_xlpm.s_good, "Good",
  IF(_xlpm.gap&gt;=_xlpm.s_neu,  "Neutral",
  IF(_xlpm.gap&gt;=_xlpm.s_warn, "Warning", "Critical"))))
)</f>
        <v>Critical</v>
      </c>
      <c r="V26" s="51"/>
      <c r="W26" s="51"/>
      <c r="X26" s="51"/>
      <c r="Y26" s="20"/>
      <c r="Z26" s="14"/>
      <c r="AA26" s="23"/>
      <c r="AB26" s="28" t="s">
        <v>244</v>
      </c>
      <c r="AC26" s="51" t="str">
        <f>_xlfn.LET(
  _xlpm.kpi,    "ending_cash",
  _xlpm.actual, financial_summary!M13,
  _xlpm.b,      _xlfn.XLOOKUP(_xlpm.kpi, benchmarks[KPI], benchmarks[benchmark]),
  _xlpm.s_exc,  _xlfn.XLOOKUP(_xlpm.kpi, benchmarks[KPI], benchmarks[thres_excellent]),
  _xlpm.s_good, _xlfn.XLOOKUP(_xlpm.kpi, benchmarks[KPI], benchmarks[thres_good]),
  _xlpm.s_neu,  _xlfn.XLOOKUP(_xlpm.kpi, benchmarks[KPI], benchmarks[thres_neutral]),
  _xlpm.s_warn, _xlfn.XLOOKUP(_xlpm.kpi, benchmarks[KPI], benchmarks[thres_warning]),
  _xlpm.dir,    _xlfn.XLOOKUP(_xlpm.kpi, benchmarks[KPI], benchmarks[direction]),
  _xlpm.gap,    IF(_xlpm.dir="higher better", (_xlpm.actual-_xlpm.b)/ABS(_xlpm.b), (_xlpm.b-_xlpm.actual)/ABS(_xlpm.b)),
  IF(_xlpm.gap&gt;=_xlpm.s_exc,  "Excellent",
  IF(_xlpm.gap&gt;=_xlpm.s_good, "Good",
  IF(_xlpm.gap&gt;=_xlpm.s_neu,  "Neutral",
  IF(_xlpm.gap&gt;=_xlpm.s_warn, "Warning", "Critical"))))
)</f>
        <v>Warning</v>
      </c>
      <c r="AD26" s="51"/>
      <c r="AE26" s="51"/>
      <c r="AF26" s="51"/>
      <c r="AG26" s="20"/>
      <c r="AH26" s="14"/>
      <c r="AI26" s="14"/>
    </row>
    <row r="27" spans="1:35" x14ac:dyDescent="0.45">
      <c r="A27" s="14"/>
      <c r="B27" s="14"/>
      <c r="C27" s="23"/>
      <c r="D27" s="27"/>
      <c r="E27" s="34"/>
      <c r="F27" s="34"/>
      <c r="G27" s="27"/>
      <c r="H27" s="27"/>
      <c r="I27" s="20"/>
      <c r="J27" s="14"/>
      <c r="K27" s="23"/>
      <c r="L27" s="27"/>
      <c r="M27" s="34"/>
      <c r="N27" s="34"/>
      <c r="O27" s="27"/>
      <c r="P27" s="27"/>
      <c r="Q27" s="20"/>
      <c r="R27" s="14"/>
      <c r="S27" s="23"/>
      <c r="T27" s="27"/>
      <c r="U27" s="34"/>
      <c r="V27" s="34"/>
      <c r="W27" s="27"/>
      <c r="X27" s="27"/>
      <c r="Y27" s="20"/>
      <c r="Z27" s="14"/>
      <c r="AA27" s="23"/>
      <c r="AB27" s="27"/>
      <c r="AC27" s="34"/>
      <c r="AD27" s="34"/>
      <c r="AE27" s="27"/>
      <c r="AF27" s="27"/>
      <c r="AG27" s="20"/>
      <c r="AH27" s="14"/>
      <c r="AI27" s="14"/>
    </row>
    <row r="28" spans="1:35" x14ac:dyDescent="0.45">
      <c r="A28" s="14"/>
      <c r="B28" s="14"/>
      <c r="C28" s="31"/>
      <c r="D28" s="32"/>
      <c r="E28" s="32"/>
      <c r="F28" s="32"/>
      <c r="G28" s="32"/>
      <c r="H28" s="32"/>
      <c r="I28" s="33"/>
      <c r="J28" s="14"/>
      <c r="K28" s="31"/>
      <c r="L28" s="32"/>
      <c r="M28" s="32"/>
      <c r="N28" s="32"/>
      <c r="O28" s="32"/>
      <c r="P28" s="32"/>
      <c r="Q28" s="33"/>
      <c r="R28" s="14"/>
      <c r="S28" s="31"/>
      <c r="T28" s="32"/>
      <c r="U28" s="32"/>
      <c r="V28" s="32"/>
      <c r="W28" s="32"/>
      <c r="X28" s="32"/>
      <c r="Y28" s="33"/>
      <c r="Z28" s="14"/>
      <c r="AA28" s="31"/>
      <c r="AB28" s="32"/>
      <c r="AC28" s="32"/>
      <c r="AD28" s="32"/>
      <c r="AE28" s="32"/>
      <c r="AF28" s="32"/>
      <c r="AG28" s="33"/>
      <c r="AH28" s="14"/>
      <c r="AI28" s="14"/>
    </row>
    <row r="29" spans="1:35" x14ac:dyDescent="0.45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</row>
    <row r="30" spans="1:35" s="6" customFormat="1" x14ac:dyDescent="0.45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</row>
    <row r="31" spans="1:35" s="8" customFormat="1" x14ac:dyDescent="0.45">
      <c r="A31" s="7"/>
      <c r="AI31" s="7"/>
    </row>
    <row r="33" spans="1:35" s="8" customFormat="1" x14ac:dyDescent="0.45">
      <c r="A33" s="7"/>
      <c r="AI33" s="7"/>
    </row>
    <row r="35" spans="1:35" s="8" customFormat="1" x14ac:dyDescent="0.45">
      <c r="A35" s="7"/>
      <c r="AI35" s="7"/>
    </row>
    <row r="36" spans="1:35" s="8" customFormat="1" x14ac:dyDescent="0.45">
      <c r="A36" s="7"/>
      <c r="AI36" s="7"/>
    </row>
  </sheetData>
  <mergeCells count="43">
    <mergeCell ref="AA2:AG3"/>
    <mergeCell ref="W24:X24"/>
    <mergeCell ref="AE24:AF24"/>
    <mergeCell ref="E26:H26"/>
    <mergeCell ref="M26:P26"/>
    <mergeCell ref="U26:X26"/>
    <mergeCell ref="AC26:AF26"/>
    <mergeCell ref="E14:H14"/>
    <mergeCell ref="M14:P14"/>
    <mergeCell ref="U14:X14"/>
    <mergeCell ref="AC14:AF14"/>
    <mergeCell ref="G23:H23"/>
    <mergeCell ref="G24:H24"/>
    <mergeCell ref="O23:P23"/>
    <mergeCell ref="O24:P24"/>
    <mergeCell ref="W23:X23"/>
    <mergeCell ref="AE23:AF23"/>
    <mergeCell ref="O11:P11"/>
    <mergeCell ref="O12:P12"/>
    <mergeCell ref="W11:X11"/>
    <mergeCell ref="W12:X12"/>
    <mergeCell ref="G11:H11"/>
    <mergeCell ref="G12:H12"/>
    <mergeCell ref="AE11:AF11"/>
    <mergeCell ref="AE12:AF12"/>
    <mergeCell ref="C19:H21"/>
    <mergeCell ref="K19:P21"/>
    <mergeCell ref="C7:H9"/>
    <mergeCell ref="K7:P9"/>
    <mergeCell ref="S7:X9"/>
    <mergeCell ref="AA7:AF9"/>
    <mergeCell ref="AA19:AF21"/>
    <mergeCell ref="S19:X21"/>
    <mergeCell ref="AA18:AG18"/>
    <mergeCell ref="S18:Y18"/>
    <mergeCell ref="K18:Q18"/>
    <mergeCell ref="C18:I18"/>
    <mergeCell ref="C6:I6"/>
    <mergeCell ref="K6:Q6"/>
    <mergeCell ref="S6:Y6"/>
    <mergeCell ref="AA6:AG6"/>
    <mergeCell ref="C2:Q2"/>
    <mergeCell ref="C3:Q3"/>
  </mergeCells>
  <conditionalFormatting sqref="E14:H14 M14:P14 U14:X14 AC14:AF14 AC26:AF26 U26:X26 M26:P26 E26:H26">
    <cfRule type="cellIs" dxfId="4" priority="1" operator="equal">
      <formula>"Critical"</formula>
    </cfRule>
    <cfRule type="cellIs" dxfId="3" priority="2" operator="equal">
      <formula>"Warning"</formula>
    </cfRule>
    <cfRule type="cellIs" dxfId="2" priority="3" operator="equal">
      <formula>"Neutral"</formula>
    </cfRule>
    <cfRule type="cellIs" dxfId="1" priority="4" operator="equal">
      <formula>"Good"</formula>
    </cfRule>
    <cfRule type="cellIs" dxfId="0" priority="5" operator="equal">
      <formula>"Excellent"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9037A-29AC-4173-8C18-F6DCCCBC4DE6}">
  <sheetPr codeName="Sheet2">
    <tabColor theme="8" tint="0.39997558519241921"/>
  </sheetPr>
  <dimension ref="A1"/>
  <sheetViews>
    <sheetView workbookViewId="0"/>
  </sheetViews>
  <sheetFormatPr defaultRowHeight="1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2958C-075A-46EB-82AC-67B29D889F2E}">
  <sheetPr codeName="Sheet3"/>
  <dimension ref="A1:G9"/>
  <sheetViews>
    <sheetView workbookViewId="0">
      <selection activeCell="A9" sqref="A9"/>
    </sheetView>
  </sheetViews>
  <sheetFormatPr defaultRowHeight="14" x14ac:dyDescent="0.3"/>
  <cols>
    <col min="1" max="1" width="12" bestFit="1" customWidth="1"/>
    <col min="2" max="2" width="14.19921875" bestFit="1" customWidth="1"/>
    <col min="3" max="3" width="15.69921875" customWidth="1"/>
    <col min="4" max="4" width="12.3984375" customWidth="1"/>
    <col min="5" max="5" width="14.296875" customWidth="1"/>
    <col min="6" max="6" width="15" customWidth="1"/>
    <col min="7" max="7" width="11.8984375" bestFit="1" customWidth="1"/>
  </cols>
  <sheetData>
    <row r="1" spans="1:7" x14ac:dyDescent="0.3">
      <c r="A1" t="s">
        <v>247</v>
      </c>
      <c r="B1" t="s">
        <v>248</v>
      </c>
      <c r="C1" t="s">
        <v>249</v>
      </c>
      <c r="D1" t="s">
        <v>250</v>
      </c>
      <c r="E1" t="s">
        <v>251</v>
      </c>
      <c r="F1" t="s">
        <v>252</v>
      </c>
      <c r="G1" t="s">
        <v>253</v>
      </c>
    </row>
    <row r="2" spans="1:7" x14ac:dyDescent="0.3">
      <c r="A2" t="s">
        <v>3</v>
      </c>
      <c r="B2" s="10">
        <v>2000000</v>
      </c>
      <c r="C2">
        <v>0.5</v>
      </c>
      <c r="D2">
        <v>0</v>
      </c>
      <c r="E2">
        <v>-0.05</v>
      </c>
      <c r="F2">
        <v>-0.1</v>
      </c>
      <c r="G2" t="s">
        <v>254</v>
      </c>
    </row>
    <row r="3" spans="1:7" x14ac:dyDescent="0.3">
      <c r="A3" t="s">
        <v>4</v>
      </c>
      <c r="B3" s="10">
        <v>1000000</v>
      </c>
      <c r="C3">
        <v>-0.5</v>
      </c>
      <c r="D3">
        <v>0</v>
      </c>
      <c r="E3">
        <v>0.05</v>
      </c>
      <c r="F3">
        <v>0.1</v>
      </c>
      <c r="G3" t="s">
        <v>255</v>
      </c>
    </row>
    <row r="4" spans="1:7" x14ac:dyDescent="0.3">
      <c r="A4" t="s">
        <v>5</v>
      </c>
      <c r="B4" s="10">
        <v>1000000</v>
      </c>
      <c r="C4">
        <v>0.1</v>
      </c>
      <c r="D4">
        <v>0</v>
      </c>
      <c r="E4">
        <v>-0.05</v>
      </c>
      <c r="F4">
        <v>-0.15</v>
      </c>
      <c r="G4" t="s">
        <v>254</v>
      </c>
    </row>
    <row r="5" spans="1:7" x14ac:dyDescent="0.3">
      <c r="A5" t="s">
        <v>6</v>
      </c>
      <c r="B5">
        <v>0.4</v>
      </c>
      <c r="C5">
        <v>0.5</v>
      </c>
      <c r="D5">
        <v>0</v>
      </c>
      <c r="E5">
        <v>-0.03</v>
      </c>
      <c r="F5">
        <v>-7.0000000000000007E-2</v>
      </c>
      <c r="G5" t="s">
        <v>254</v>
      </c>
    </row>
    <row r="6" spans="1:7" x14ac:dyDescent="0.3">
      <c r="A6" t="s">
        <v>7</v>
      </c>
      <c r="B6" s="10">
        <v>2000000</v>
      </c>
      <c r="C6">
        <v>-0.5</v>
      </c>
      <c r="D6">
        <v>0</v>
      </c>
      <c r="E6">
        <v>0.05</v>
      </c>
      <c r="F6">
        <v>0.1</v>
      </c>
      <c r="G6" t="s">
        <v>255</v>
      </c>
    </row>
    <row r="7" spans="1:7" x14ac:dyDescent="0.3">
      <c r="A7" t="s">
        <v>8</v>
      </c>
      <c r="B7" s="10">
        <v>-200000</v>
      </c>
      <c r="C7">
        <v>0.2</v>
      </c>
      <c r="D7">
        <v>0</v>
      </c>
      <c r="E7">
        <v>-0.1</v>
      </c>
      <c r="F7">
        <v>-0.3</v>
      </c>
      <c r="G7" t="s">
        <v>254</v>
      </c>
    </row>
    <row r="8" spans="1:7" x14ac:dyDescent="0.3">
      <c r="A8" t="s">
        <v>256</v>
      </c>
      <c r="B8" s="10">
        <v>100000</v>
      </c>
      <c r="C8">
        <v>0.15</v>
      </c>
      <c r="D8">
        <v>0</v>
      </c>
      <c r="E8">
        <v>-0.1</v>
      </c>
      <c r="F8">
        <v>-0.25</v>
      </c>
      <c r="G8" t="s">
        <v>254</v>
      </c>
    </row>
    <row r="9" spans="1:7" x14ac:dyDescent="0.3">
      <c r="A9" t="s">
        <v>12</v>
      </c>
      <c r="B9" s="10">
        <v>800000</v>
      </c>
      <c r="C9">
        <v>0.1</v>
      </c>
      <c r="D9">
        <v>0</v>
      </c>
      <c r="E9">
        <v>-0.05</v>
      </c>
      <c r="F9">
        <v>-0.15</v>
      </c>
      <c r="G9" t="s">
        <v>254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A1223-CC04-44F5-B164-C4545A57EE7D}">
  <sheetPr codeName="Sheet4"/>
  <dimension ref="A1:AI26"/>
  <sheetViews>
    <sheetView zoomScaleNormal="100" workbookViewId="0">
      <selection activeCell="J26" sqref="J26"/>
    </sheetView>
  </sheetViews>
  <sheetFormatPr defaultRowHeight="14" x14ac:dyDescent="0.3"/>
  <cols>
    <col min="1" max="1" width="7.796875" bestFit="1" customWidth="1"/>
    <col min="2" max="2" width="9.5" bestFit="1" customWidth="1"/>
    <col min="3" max="3" width="13.3984375" bestFit="1" customWidth="1"/>
    <col min="4" max="5" width="14.19921875" style="10" bestFit="1" customWidth="1"/>
    <col min="6" max="6" width="14.3984375" style="10" bestFit="1" customWidth="1"/>
    <col min="7" max="7" width="14.296875" style="9" bestFit="1" customWidth="1"/>
    <col min="8" max="8" width="14.19921875" style="10" bestFit="1" customWidth="1"/>
    <col min="9" max="9" width="14.796875" style="10" bestFit="1" customWidth="1"/>
    <col min="10" max="10" width="14.3984375" style="10" bestFit="1" customWidth="1"/>
    <col min="11" max="11" width="15.796875" style="10" bestFit="1" customWidth="1"/>
    <col min="12" max="12" width="16.69921875" style="10" bestFit="1" customWidth="1"/>
    <col min="13" max="13" width="15.19921875" style="10" bestFit="1" customWidth="1"/>
    <col min="14" max="14" width="18.19921875" style="10" bestFit="1" customWidth="1"/>
    <col min="15" max="15" width="14.8984375" style="10" bestFit="1" customWidth="1"/>
    <col min="16" max="16" width="15.5" style="10" bestFit="1" customWidth="1"/>
    <col min="17" max="17" width="23" style="10" bestFit="1" customWidth="1"/>
    <col min="18" max="18" width="19.3984375" style="10" bestFit="1" customWidth="1"/>
    <col min="19" max="19" width="16.09765625" style="10" bestFit="1" customWidth="1"/>
    <col min="20" max="20" width="16.59765625" style="10" bestFit="1" customWidth="1"/>
    <col min="21" max="21" width="22.5" style="10" bestFit="1" customWidth="1"/>
    <col min="22" max="22" width="11.69921875" style="9" bestFit="1" customWidth="1"/>
  </cols>
  <sheetData>
    <row r="1" spans="1:35" x14ac:dyDescent="0.3">
      <c r="A1" t="s">
        <v>0</v>
      </c>
      <c r="B1" t="s">
        <v>1</v>
      </c>
      <c r="C1" t="s">
        <v>2</v>
      </c>
      <c r="D1" s="10" t="s">
        <v>3</v>
      </c>
      <c r="E1" s="10" t="s">
        <v>4</v>
      </c>
      <c r="F1" s="10" t="s">
        <v>5</v>
      </c>
      <c r="G1" s="9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10" t="s">
        <v>19</v>
      </c>
      <c r="U1" s="10" t="s">
        <v>20</v>
      </c>
      <c r="V1" s="9" t="s">
        <v>21</v>
      </c>
    </row>
    <row r="2" spans="1:35" x14ac:dyDescent="0.3">
      <c r="A2">
        <v>202501</v>
      </c>
      <c r="B2" s="1">
        <v>45658</v>
      </c>
      <c r="C2" s="1">
        <v>46047</v>
      </c>
      <c r="D2" s="10">
        <v>213963.11660000001</v>
      </c>
      <c r="E2" s="10">
        <v>101666</v>
      </c>
      <c r="F2" s="10">
        <v>112297.11660000001</v>
      </c>
      <c r="G2" s="9">
        <v>0.52484333928420634</v>
      </c>
      <c r="H2" s="10">
        <v>199821.52000000008</v>
      </c>
      <c r="I2" s="10">
        <v>-87524.403400000068</v>
      </c>
      <c r="J2" s="10">
        <v>61788.460000000006</v>
      </c>
      <c r="K2" s="10">
        <v>176428.74000000005</v>
      </c>
      <c r="L2" s="10">
        <v>-114640.28000000004</v>
      </c>
      <c r="M2" s="10">
        <v>1085359.72</v>
      </c>
      <c r="N2" s="10">
        <v>178946.89</v>
      </c>
      <c r="O2" s="10">
        <v>112360.77</v>
      </c>
      <c r="P2" s="10">
        <v>178906.4</v>
      </c>
      <c r="Q2" s="10">
        <v>1173063.81</v>
      </c>
      <c r="R2" s="10">
        <v>35016.226599999995</v>
      </c>
      <c r="S2" s="10">
        <v>-10694.770000000004</v>
      </c>
      <c r="T2" s="10">
        <v>20915.120000000083</v>
      </c>
      <c r="U2" s="10">
        <v>24795.876599999916</v>
      </c>
      <c r="V2" s="9">
        <v>0.19567943650766992</v>
      </c>
    </row>
    <row r="3" spans="1:35" x14ac:dyDescent="0.3">
      <c r="A3">
        <v>202502</v>
      </c>
      <c r="B3" s="1">
        <v>45689</v>
      </c>
      <c r="C3" s="1">
        <v>46078</v>
      </c>
      <c r="D3" s="10">
        <v>197361.62140000003</v>
      </c>
      <c r="E3" s="10">
        <v>137603</v>
      </c>
      <c r="F3" s="10">
        <v>59758.621400000033</v>
      </c>
      <c r="G3" s="9">
        <v>0.30278744659725432</v>
      </c>
      <c r="H3" s="10">
        <v>395190.94999999995</v>
      </c>
      <c r="I3" s="10">
        <v>-335432.32859999989</v>
      </c>
      <c r="J3" s="10">
        <v>156427.78000000003</v>
      </c>
      <c r="K3" s="10">
        <v>198278.77999999997</v>
      </c>
      <c r="L3" s="10">
        <v>-41850.999999999942</v>
      </c>
      <c r="M3" s="10">
        <v>1043508.72</v>
      </c>
      <c r="N3" s="10">
        <v>189259.15</v>
      </c>
      <c r="O3" s="10">
        <v>109464.88</v>
      </c>
      <c r="P3" s="10">
        <v>175059.31</v>
      </c>
      <c r="Q3" s="10">
        <v>1060743.53</v>
      </c>
      <c r="R3" s="10">
        <v>8102.4714000000386</v>
      </c>
      <c r="S3" s="10">
        <v>28138.119999999995</v>
      </c>
      <c r="T3" s="10">
        <v>220131.63999999996</v>
      </c>
      <c r="U3" s="10">
        <v>-240167.28859999988</v>
      </c>
      <c r="V3" s="9">
        <v>4.2811517435220645E-2</v>
      </c>
    </row>
    <row r="4" spans="1:35" x14ac:dyDescent="0.3">
      <c r="A4">
        <v>202503</v>
      </c>
      <c r="B4" s="1">
        <v>45717</v>
      </c>
      <c r="C4" s="1">
        <v>46106</v>
      </c>
      <c r="D4" s="10">
        <v>176076.29449999996</v>
      </c>
      <c r="E4" s="10">
        <v>114506</v>
      </c>
      <c r="F4" s="10">
        <v>61570.29449999996</v>
      </c>
      <c r="G4" s="9">
        <v>0.34967963560818788</v>
      </c>
      <c r="H4" s="10">
        <v>968186.63</v>
      </c>
      <c r="I4" s="10">
        <v>-906616.33550000004</v>
      </c>
      <c r="J4" s="10">
        <v>161297.20000000001</v>
      </c>
      <c r="K4" s="10">
        <v>205640.86999999997</v>
      </c>
      <c r="L4" s="10">
        <v>-44343.669999999955</v>
      </c>
      <c r="M4" s="10">
        <v>999165.05</v>
      </c>
      <c r="N4" s="10">
        <v>198884.11</v>
      </c>
      <c r="O4" s="10">
        <v>121578.25</v>
      </c>
      <c r="P4" s="10">
        <v>178718.2</v>
      </c>
      <c r="Q4" s="10">
        <v>965478.49</v>
      </c>
      <c r="R4" s="10">
        <v>-22807.815500000026</v>
      </c>
      <c r="S4" s="10">
        <v>-7072.25</v>
      </c>
      <c r="T4" s="10">
        <v>789468.42999999993</v>
      </c>
      <c r="U4" s="10">
        <v>-805203.99549999996</v>
      </c>
      <c r="V4" s="9">
        <v>-0.11467892281590535</v>
      </c>
    </row>
    <row r="5" spans="1:35" x14ac:dyDescent="0.3">
      <c r="A5">
        <v>202504</v>
      </c>
      <c r="B5" s="1">
        <v>45748</v>
      </c>
      <c r="C5" s="1">
        <v>46137</v>
      </c>
      <c r="D5" s="10">
        <v>163178.09079999995</v>
      </c>
      <c r="E5" s="10">
        <v>105568</v>
      </c>
      <c r="F5" s="10">
        <v>57610.090799999947</v>
      </c>
      <c r="G5" s="9">
        <v>0.35305040350429179</v>
      </c>
      <c r="H5" s="10">
        <v>218515.44999999998</v>
      </c>
      <c r="I5" s="10">
        <v>-160905.35920000004</v>
      </c>
      <c r="J5" s="10">
        <v>154478.02999999994</v>
      </c>
      <c r="K5" s="10">
        <v>221826.90999999997</v>
      </c>
      <c r="L5" s="10">
        <v>-67348.880000000034</v>
      </c>
      <c r="M5" s="10">
        <v>931816.17</v>
      </c>
      <c r="N5" s="10">
        <v>218156.51</v>
      </c>
      <c r="O5" s="10">
        <v>121706.91</v>
      </c>
      <c r="P5" s="10">
        <v>178003.59</v>
      </c>
      <c r="Q5" s="10">
        <v>864066.14999999991</v>
      </c>
      <c r="R5" s="10">
        <v>-54978.419200000062</v>
      </c>
      <c r="S5" s="10">
        <v>-16138.910000000003</v>
      </c>
      <c r="T5" s="10">
        <v>40511.859999999986</v>
      </c>
      <c r="U5" s="10">
        <v>-79351.369200000045</v>
      </c>
      <c r="V5" s="9">
        <v>-0.25201365386712532</v>
      </c>
    </row>
    <row r="6" spans="1:35" x14ac:dyDescent="0.3">
      <c r="A6">
        <v>202505</v>
      </c>
      <c r="B6" s="1">
        <v>45778</v>
      </c>
      <c r="C6" s="1">
        <v>46167</v>
      </c>
      <c r="D6" s="10">
        <v>159998.30649999992</v>
      </c>
      <c r="E6" s="10">
        <v>103196</v>
      </c>
      <c r="F6" s="10">
        <v>56802.306499999919</v>
      </c>
      <c r="G6" s="9">
        <v>0.35501817327047736</v>
      </c>
      <c r="H6" s="10">
        <v>215446.7900000001</v>
      </c>
      <c r="I6" s="10">
        <v>-158644.48350000018</v>
      </c>
      <c r="J6" s="10">
        <v>190511.98000000004</v>
      </c>
      <c r="K6" s="10">
        <v>258991.17000000004</v>
      </c>
      <c r="L6" s="10">
        <v>-68479.19</v>
      </c>
      <c r="M6" s="10">
        <v>863336.98</v>
      </c>
      <c r="N6" s="10">
        <v>229323.07</v>
      </c>
      <c r="O6" s="10">
        <v>125167.12</v>
      </c>
      <c r="P6" s="10">
        <v>173781.71</v>
      </c>
      <c r="Q6" s="10">
        <v>782512.15999999992</v>
      </c>
      <c r="R6" s="10">
        <v>-69324.763500000088</v>
      </c>
      <c r="S6" s="10">
        <v>-21971.119999999995</v>
      </c>
      <c r="T6" s="10">
        <v>41665.080000000104</v>
      </c>
      <c r="U6" s="10">
        <v>-89018.723500000197</v>
      </c>
      <c r="V6" s="9">
        <v>-0.30230174181777736</v>
      </c>
    </row>
    <row r="7" spans="1:35" x14ac:dyDescent="0.3">
      <c r="A7">
        <v>202506</v>
      </c>
      <c r="B7" s="1">
        <v>45809</v>
      </c>
      <c r="C7" s="1">
        <v>46198</v>
      </c>
      <c r="D7" s="10">
        <v>232352.86379999993</v>
      </c>
      <c r="E7" s="10">
        <v>119387</v>
      </c>
      <c r="F7" s="10">
        <v>112965.86379999993</v>
      </c>
      <c r="G7" s="9">
        <v>0.48618236053779151</v>
      </c>
      <c r="H7" s="10">
        <v>949028.24</v>
      </c>
      <c r="I7" s="10">
        <v>-836062.37620000006</v>
      </c>
      <c r="J7" s="10">
        <v>189143.2600000001</v>
      </c>
      <c r="K7" s="10">
        <v>195350.51999999996</v>
      </c>
      <c r="L7" s="10">
        <v>-6207.2599999998638</v>
      </c>
      <c r="M7" s="10">
        <v>857129.72000000009</v>
      </c>
      <c r="N7" s="10">
        <v>225855.29</v>
      </c>
      <c r="O7" s="10">
        <v>127241.65</v>
      </c>
      <c r="P7" s="10">
        <v>177731.84</v>
      </c>
      <c r="Q7" s="10">
        <v>712886.39999999991</v>
      </c>
      <c r="R7" s="10">
        <v>6497.5737999999255</v>
      </c>
      <c r="S7" s="10">
        <v>-7854.6499999999942</v>
      </c>
      <c r="T7" s="10">
        <v>771296.4</v>
      </c>
      <c r="U7" s="10">
        <v>-756944.1762000001</v>
      </c>
      <c r="V7" s="9">
        <v>2.8768747457719169E-2</v>
      </c>
    </row>
    <row r="8" spans="1:35" x14ac:dyDescent="0.3">
      <c r="A8">
        <v>202507</v>
      </c>
      <c r="B8" s="1">
        <v>45839</v>
      </c>
      <c r="C8" s="1">
        <v>46228</v>
      </c>
      <c r="D8" s="10">
        <v>199404.37600000005</v>
      </c>
      <c r="E8" s="10">
        <v>102754</v>
      </c>
      <c r="F8" s="10">
        <v>96650.376000000047</v>
      </c>
      <c r="G8" s="9">
        <v>0.48469536094834764</v>
      </c>
      <c r="H8" s="10">
        <v>226895.16</v>
      </c>
      <c r="I8" s="10">
        <v>-130244.78399999996</v>
      </c>
      <c r="J8" s="10">
        <v>379149.19000000012</v>
      </c>
      <c r="K8" s="10">
        <v>270799.8600000001</v>
      </c>
      <c r="L8" s="10">
        <v>108349.33000000002</v>
      </c>
      <c r="M8" s="10">
        <v>965479.05</v>
      </c>
      <c r="N8" s="10">
        <v>239998.41</v>
      </c>
      <c r="O8" s="10">
        <v>134340.96</v>
      </c>
      <c r="P8" s="10">
        <v>178073.96</v>
      </c>
      <c r="Q8" s="10">
        <v>633768.19999999995</v>
      </c>
      <c r="R8" s="10">
        <v>-40594.033999999956</v>
      </c>
      <c r="S8" s="10">
        <v>-31586.959999999992</v>
      </c>
      <c r="T8" s="10">
        <v>48821.200000000012</v>
      </c>
      <c r="U8" s="10">
        <v>-57828.273999999976</v>
      </c>
      <c r="V8" s="9">
        <v>-0.16914292890523713</v>
      </c>
    </row>
    <row r="9" spans="1:35" x14ac:dyDescent="0.3">
      <c r="A9">
        <v>202508</v>
      </c>
      <c r="B9" s="1">
        <v>45870</v>
      </c>
      <c r="C9" s="1">
        <v>46259</v>
      </c>
      <c r="D9" s="10">
        <v>213815.0457000001</v>
      </c>
      <c r="E9" s="10">
        <v>151841</v>
      </c>
      <c r="F9" s="10">
        <v>61974.045700000104</v>
      </c>
      <c r="G9" s="9">
        <v>0.28984885276480837</v>
      </c>
      <c r="H9" s="10">
        <v>337666.8</v>
      </c>
      <c r="I9" s="10">
        <v>-275692.75429999991</v>
      </c>
      <c r="J9" s="10">
        <v>183668.66999999987</v>
      </c>
      <c r="K9" s="10">
        <v>188496.38000000003</v>
      </c>
      <c r="L9" s="10">
        <v>-4827.7100000001665</v>
      </c>
      <c r="M9" s="10">
        <v>960651.33999999985</v>
      </c>
      <c r="N9" s="10">
        <v>239026.12</v>
      </c>
      <c r="O9" s="10">
        <v>129887.98</v>
      </c>
      <c r="P9" s="10">
        <v>171996.85</v>
      </c>
      <c r="Q9" s="10">
        <v>561351.68999999994</v>
      </c>
      <c r="R9" s="10">
        <v>-25211.074299999891</v>
      </c>
      <c r="S9" s="10">
        <v>21953.020000000004</v>
      </c>
      <c r="T9" s="10">
        <v>165669.94999999998</v>
      </c>
      <c r="U9" s="10">
        <v>-212834.04429999989</v>
      </c>
      <c r="V9" s="9">
        <v>-0.10547413939530914</v>
      </c>
    </row>
    <row r="10" spans="1:35" x14ac:dyDescent="0.3">
      <c r="A10">
        <v>202509</v>
      </c>
      <c r="B10" s="1">
        <v>45901</v>
      </c>
      <c r="C10" s="1">
        <v>46290</v>
      </c>
      <c r="D10" s="10">
        <v>178564.27340000003</v>
      </c>
      <c r="E10" s="10">
        <v>109768</v>
      </c>
      <c r="F10" s="10">
        <v>68796.273400000035</v>
      </c>
      <c r="G10" s="9">
        <v>0.38527456859127801</v>
      </c>
      <c r="H10" s="10">
        <v>235011.95999999996</v>
      </c>
      <c r="I10" s="10">
        <v>-166215.68659999993</v>
      </c>
      <c r="J10" s="10">
        <v>185352.90999999997</v>
      </c>
      <c r="K10" s="10">
        <v>243749.75</v>
      </c>
      <c r="L10" s="10">
        <v>-58396.840000000026</v>
      </c>
      <c r="M10" s="10">
        <v>902254.49999999977</v>
      </c>
      <c r="N10" s="10">
        <v>223893.37</v>
      </c>
      <c r="O10" s="10">
        <v>131583.38</v>
      </c>
      <c r="P10" s="10">
        <v>179310.39</v>
      </c>
      <c r="Q10" s="10">
        <v>498492.97999999992</v>
      </c>
      <c r="R10" s="10">
        <v>-45329.096599999961</v>
      </c>
      <c r="S10" s="10">
        <v>-21815.380000000005</v>
      </c>
      <c r="T10" s="10">
        <v>55701.569999999949</v>
      </c>
      <c r="U10" s="10">
        <v>-79215.286599999905</v>
      </c>
      <c r="V10" s="9">
        <v>-0.20245841402092415</v>
      </c>
    </row>
    <row r="11" spans="1:35" x14ac:dyDescent="0.3">
      <c r="A11">
        <v>202510</v>
      </c>
      <c r="B11" s="1">
        <v>45931</v>
      </c>
      <c r="C11" s="1">
        <v>46320</v>
      </c>
      <c r="D11" s="10">
        <v>199227.98859999992</v>
      </c>
      <c r="E11" s="10">
        <v>114714</v>
      </c>
      <c r="F11" s="10">
        <v>84513.988599999924</v>
      </c>
      <c r="G11" s="9">
        <v>0.42420740777382898</v>
      </c>
      <c r="H11" s="10">
        <v>371713.28000000003</v>
      </c>
      <c r="I11" s="10">
        <v>-287199.2914000001</v>
      </c>
      <c r="J11" s="10">
        <v>182179.19999999998</v>
      </c>
      <c r="K11" s="10">
        <v>970070.72999999963</v>
      </c>
      <c r="L11" s="10">
        <v>-787891.52999999968</v>
      </c>
      <c r="M11" s="10">
        <v>114362.97000000009</v>
      </c>
      <c r="N11" s="10">
        <v>242622.07999999999</v>
      </c>
      <c r="O11" s="10">
        <v>131859.60999999999</v>
      </c>
      <c r="P11" s="10">
        <v>172784.46</v>
      </c>
      <c r="Q11" s="10">
        <v>411492.5799999999</v>
      </c>
      <c r="R11" s="10">
        <v>-43394.091400000063</v>
      </c>
      <c r="S11" s="10">
        <v>-17145.609999999986</v>
      </c>
      <c r="T11" s="10">
        <v>198928.82000000004</v>
      </c>
      <c r="U11" s="10">
        <v>-225177.30140000011</v>
      </c>
      <c r="V11" s="9">
        <v>-0.17885466730810348</v>
      </c>
    </row>
    <row r="12" spans="1:35" x14ac:dyDescent="0.3">
      <c r="A12">
        <v>202511</v>
      </c>
      <c r="B12" s="1">
        <v>45962</v>
      </c>
      <c r="C12" s="1">
        <v>46351</v>
      </c>
      <c r="D12" s="10">
        <v>227736.79360000012</v>
      </c>
      <c r="E12" s="10">
        <v>148115</v>
      </c>
      <c r="F12" s="10">
        <v>79621.793600000121</v>
      </c>
      <c r="G12" s="9">
        <v>0.34962200152799588</v>
      </c>
      <c r="H12" s="39">
        <v>223640.88</v>
      </c>
      <c r="I12" s="10">
        <v>-144019.08639999988</v>
      </c>
      <c r="J12" s="10">
        <v>678617.4700000002</v>
      </c>
      <c r="K12" s="10">
        <v>215926.48999999996</v>
      </c>
      <c r="L12" s="10">
        <v>462690.98000000021</v>
      </c>
      <c r="M12" s="10">
        <v>577053.9500000003</v>
      </c>
      <c r="N12" s="10">
        <v>256189.5</v>
      </c>
      <c r="O12" s="10">
        <v>144362.76</v>
      </c>
      <c r="P12" s="10">
        <v>179670.93</v>
      </c>
      <c r="Q12" s="39">
        <v>349470.58999999991</v>
      </c>
      <c r="R12" s="10">
        <v>-28452.706399999879</v>
      </c>
      <c r="S12" s="10">
        <v>3752.2399999999907</v>
      </c>
      <c r="T12" s="10">
        <v>43969.950000000012</v>
      </c>
      <c r="U12" s="10">
        <v>-76174.896399999881</v>
      </c>
      <c r="V12" s="9">
        <v>-0.11106117307696013</v>
      </c>
      <c r="Z12" s="40"/>
      <c r="AI12" s="40"/>
    </row>
    <row r="13" spans="1:35" x14ac:dyDescent="0.3">
      <c r="A13">
        <v>202512</v>
      </c>
      <c r="B13" s="1">
        <v>45992</v>
      </c>
      <c r="C13" s="1">
        <v>46381</v>
      </c>
      <c r="D13" s="10">
        <v>321288.72180000017</v>
      </c>
      <c r="E13" s="10">
        <v>199556</v>
      </c>
      <c r="F13" s="10">
        <v>121732.72180000017</v>
      </c>
      <c r="G13" s="9">
        <v>0.37888887327883825</v>
      </c>
      <c r="H13" s="39">
        <v>225678.69</v>
      </c>
      <c r="I13" s="10">
        <v>-103945.96819999983</v>
      </c>
      <c r="J13" s="10">
        <v>375643.71000000014</v>
      </c>
      <c r="K13" s="10">
        <v>226529.84</v>
      </c>
      <c r="L13" s="10">
        <v>149113.87000000014</v>
      </c>
      <c r="M13" s="10">
        <v>726167.82000000041</v>
      </c>
      <c r="N13" s="10">
        <v>294278.39</v>
      </c>
      <c r="O13" s="10">
        <v>168818.57</v>
      </c>
      <c r="P13" s="10">
        <v>176548.45</v>
      </c>
      <c r="Q13" s="39">
        <v>281626.39999999991</v>
      </c>
      <c r="R13" s="10">
        <v>27010.33180000016</v>
      </c>
      <c r="S13" s="10">
        <v>30737.429999999993</v>
      </c>
      <c r="T13" s="10">
        <v>49130.239999999991</v>
      </c>
      <c r="U13" s="10">
        <v>-52857.338199999824</v>
      </c>
      <c r="V13" s="9">
        <v>9.178496525008227E-2</v>
      </c>
      <c r="Z13" s="40"/>
      <c r="AI13" s="41"/>
    </row>
    <row r="14" spans="1:35" x14ac:dyDescent="0.3">
      <c r="B14" s="1"/>
      <c r="C14" s="1"/>
      <c r="D14" s="10">
        <f>SUM(financial_summary[revenue])</f>
        <v>2482967.4927000003</v>
      </c>
      <c r="E14" s="10">
        <f>SUM(financial_summary[cogs])</f>
        <v>1508674</v>
      </c>
      <c r="F14" s="10">
        <f>SUM(financial_summary[gross_profit])</f>
        <v>974293.49270000029</v>
      </c>
      <c r="G14" s="11">
        <f>financial_summary[[#Totals],[gross_profit]]/financial_summary[[#Totals],[revenue]]</f>
        <v>0.3923907564494713</v>
      </c>
      <c r="H14" s="10">
        <f>SUM(financial_summary[opex])</f>
        <v>4566796.3500000006</v>
      </c>
      <c r="I14" s="10">
        <f>SUM(financial_summary[net_income])</f>
        <v>-3592502.8572999998</v>
      </c>
      <c r="J14" s="10">
        <f>SUM(financial_summary[cash_inflow])</f>
        <v>2898257.8600000003</v>
      </c>
      <c r="K14" s="10">
        <f>SUM(financial_summary[cash_outflow])</f>
        <v>3372090.0399999996</v>
      </c>
      <c r="L14" s="10">
        <f>SUM(financial_summary[net_cash_flow])</f>
        <v>-473832.17999999947</v>
      </c>
      <c r="N14" s="10">
        <f>SUM(financial_summary[budget_revenue])</f>
        <v>2736432.89</v>
      </c>
      <c r="O14" s="10">
        <f>SUM(financial_summary[budget_cogs])</f>
        <v>1558372.8399999999</v>
      </c>
      <c r="P14" s="10">
        <f>SUM(financial_summary[budget_opex])</f>
        <v>2120586.09</v>
      </c>
      <c r="Q14" s="10">
        <f>SUM(financial_summary[budget_opening_cash])</f>
        <v>8294952.9799999986</v>
      </c>
      <c r="R14" s="10">
        <f>SUM(financial_summary[variance_revenue])</f>
        <v>-253465.39729999984</v>
      </c>
      <c r="S14" s="10">
        <f>SUM(financial_summary[variance_cogs])</f>
        <v>-49698.84</v>
      </c>
      <c r="T14" s="10">
        <f>SUM(financial_summary[variance_opex])</f>
        <v>2446210.2599999998</v>
      </c>
      <c r="U14" s="10">
        <f>SUM(financial_summary[variance_net_income])</f>
        <v>-2649976.8172999998</v>
      </c>
      <c r="V14" s="11">
        <f>(financial_summary[[#Totals],[revenue]]-financial_summary[[#Totals],[budget_revenue]])/financial_summary[[#Totals],[budget_revenue]]</f>
        <v>-9.2626206265193592E-2</v>
      </c>
    </row>
    <row r="15" spans="1:35" x14ac:dyDescent="0.3">
      <c r="N15" s="9"/>
    </row>
    <row r="16" spans="1:35" x14ac:dyDescent="0.3">
      <c r="N16" s="9"/>
    </row>
    <row r="19" spans="3:35" x14ac:dyDescent="0.3">
      <c r="D19" s="43" t="s">
        <v>3</v>
      </c>
      <c r="E19" s="43" t="s">
        <v>4</v>
      </c>
      <c r="F19" s="43" t="s">
        <v>5</v>
      </c>
      <c r="G19" s="44" t="s">
        <v>6</v>
      </c>
      <c r="H19" s="43" t="s">
        <v>7</v>
      </c>
      <c r="I19" s="43" t="s">
        <v>8</v>
      </c>
      <c r="J19" s="43" t="s">
        <v>11</v>
      </c>
      <c r="K19" s="43" t="s">
        <v>12</v>
      </c>
    </row>
    <row r="20" spans="3:35" x14ac:dyDescent="0.3">
      <c r="C20" t="s">
        <v>257</v>
      </c>
      <c r="D20" s="9" cm="1">
        <f t="array" ref="D20">_xlfn.LET(
  _xlpm.x,   SUMPRODUCT((MONTH(financial_summary!B$2:B$13)&lt;=6)*financial_summary!D$2:D$13),
  _xlpm.tot, financial_summary!D$14,
  _xlpm.x/_xlpm.tot
)</f>
        <v>0.46030819854075794</v>
      </c>
      <c r="E20" s="9" cm="1">
        <f t="array" ref="E20">_xlfn.LET(
  _xlpm.x,   SUMPRODUCT((MONTH(financial_summary!B$2:B$13)&lt;=6)*financial_summary!E$2:E$13),
  _xlpm.tot, financial_summary!E$14,
  _xlpm.x/_xlpm.tot
)</f>
        <v>0.45200354748607052</v>
      </c>
      <c r="F20" s="9" cm="1">
        <f t="array" ref="F20">_xlfn.LET(
  _xlpm.x,   SUMPRODUCT((MONTH(financial_summary!B$2:B$13)&lt;=6)*financial_summary!F$2:F$13),
  _xlpm.tot, financial_summary!F$14,
  _xlpm.x/_xlpm.tot
)</f>
        <v>0.47316778471181892</v>
      </c>
      <c r="G20" s="9" cm="1">
        <f t="array" ref="G20">_xlfn.LET(
  _xlpm.gp,  SUMPRODUCT((MONTH(financial_summary!B$2:B$13)&lt;=6)*financial_summary!F$2:F$13),
  _xlpm.rev, SUMPRODUCT((MONTH(financial_summary!B$2:B$13)&lt;=6)*financial_summary!D$2:D$13),
  _xlpm.gp/_xlpm.rev
)</f>
        <v>0.40335293952873486</v>
      </c>
      <c r="H20" s="9" cm="1">
        <f t="array" ref="H20">_xlfn.LET(
  _xlpm.x,   SUMPRODUCT((MONTH(financial_summary!B$2:B$13)&lt;=6)*financial_summary!H$2:H$13),
  _xlpm.tot, financial_summary!H$14,
  _xlpm.x/_xlpm.tot)</f>
        <v>0.6451326825642224</v>
      </c>
      <c r="I20" s="9" cm="1">
        <f t="array" ref="I20">_xlfn.LET(
  _xlpm.x,   SUMPRODUCT((MONTH(financial_summary!B$2:B$13)&lt;=6)*financial_summary!I$2:I$13),
  _xlpm.tot, financial_summary!I$14,
  _xlpm.x/_xlpm.tot
)</f>
        <v>0.69176988442753218</v>
      </c>
      <c r="J20" s="9" cm="1">
        <f t="array" ref="J20">_xlfn.LET(
  _xlpm.x,   SUMPRODUCT((MONTH(financial_summary!B$2:B$13)&lt;=6)*financial_summary!L$2:L$13),
  _xlpm.tot, financial_summary!L$14,
  _xlpm.x/_xlpm.tot
)</f>
        <v>0.72361121610609092</v>
      </c>
      <c r="K20" s="9" cm="1">
        <f t="array" ref="K20">_xlfn.LET(
  _xlpm.start, SUMPRODUCT((MONTH(financial_summary!B$2:B$13)=1)*financial_summary!M$2:M$13),
  _xlpm.end,   SUMPRODUCT((MONTH(financial_summary!B$2:B$13)=6)*financial_summary!M$2:M$13),
  (_xlpm.end-_xlpm.start)/ABS(_xlpm.start)
)</f>
        <v>-0.21028051418749896</v>
      </c>
    </row>
    <row r="21" spans="3:35" x14ac:dyDescent="0.3">
      <c r="C21" t="s">
        <v>258</v>
      </c>
      <c r="D21" s="9" cm="1">
        <f t="array" ref="D21">_xlfn.LET(
  _xlpm.x,   SUMPRODUCT((MONTH(financial_summary!B$2:B$13)&gt;6)*financial_summary!D$2:D$13),
  _xlpm.tot, financial_summary!D$14,
  _xlpm.x/_xlpm.tot
)</f>
        <v>0.53969180145924189</v>
      </c>
      <c r="E21" s="9" cm="1">
        <f t="array" ref="E21">_xlfn.LET(
  _xlpm.x,   SUMPRODUCT((MONTH(financial_summary!B$2:B$13)&gt;6)*financial_summary!E$2:E$13),
  _xlpm.tot, financial_summary!E$14,
  _xlpm.x/_xlpm.tot
)</f>
        <v>0.54799645251392948</v>
      </c>
      <c r="F21" s="9" cm="1">
        <f t="array" ref="F21">_xlfn.LET(
  _xlpm.x,   SUMPRODUCT((MONTH(financial_summary!B$2:B$13)&gt;6)*financial_summary!F$2:F$13),
  _xlpm.tot, financial_summary!F$14,
  _xlpm.x/_xlpm.tot
)</f>
        <v>0.52683221528818103</v>
      </c>
      <c r="G21" s="9" cm="1">
        <f t="array" ref="G21">_xlfn.LET(
  _xlpm.gp,  SUMPRODUCT((MONTH(financial_summary!B$2:B$13)&gt;6)*financial_summary!F$2:F$13),
  _xlpm.rev, SUMPRODUCT((MONTH(financial_summary!B$2:B$13)&gt;6)*financial_summary!D$2:D$13),
  _xlpm.gp/_xlpm.rev
)</f>
        <v>0.38304100770093341</v>
      </c>
      <c r="H21" s="9" cm="1">
        <f t="array" ref="H21">_xlfn.LET(
  _xlpm.x,   SUMPRODUCT((MONTH(financial_summary!B$2:B$13)&gt;6)*financial_summary!H$2:H$13),
  _xlpm.tot, financial_summary!H$14,
_xlpm.x/_xlpm.tot)</f>
        <v>0.35486731743577743</v>
      </c>
      <c r="I21" s="9" cm="1">
        <f t="array" ref="I21">_xlfn.LET(
  _xlpm.x,   SUMPRODUCT((MONTH(financial_summary!B$2:B$13)&gt;6)*financial_summary!I$2:I$13),
  _xlpm.tot, financial_summary!I$14,
  _xlpm.x/_xlpm.tot
)</f>
        <v>0.30823011557246777</v>
      </c>
      <c r="J21" s="9" cm="1">
        <f t="array" ref="J21">_xlfn.LET(
  _xlpm.x,   SUMPRODUCT((MONTH(financial_summary!B$2:B$13)&gt;6)*financial_summary!L$2:L$13),
  _xlpm.tot, financial_summary!L$14,
  _xlpm.x/_xlpm.tot
)</f>
        <v>0.27638878389390875</v>
      </c>
      <c r="K21" s="9" cm="1">
        <f t="array" ref="K21">_xlfn.LET(
  _xlpm.start, SUMPRODUCT((MONTH(financial_summary!B$2:B$13)=7)*financial_summary!M$2:M$13),
  _xlpm.end,   SUMPRODUCT((MONTH(financial_summary!B$2:B$13)=12)*financial_summary!M$2:M$13),
  (_xlpm.end-_xlpm.start)/ABS(_xlpm.start)
)</f>
        <v>-0.24786786414474724</v>
      </c>
    </row>
    <row r="25" spans="3:35" x14ac:dyDescent="0.3">
      <c r="H25" s="45"/>
      <c r="Q25" s="39"/>
      <c r="Z25" s="40"/>
      <c r="AI25" s="41"/>
    </row>
    <row r="26" spans="3:35" x14ac:dyDescent="0.3">
      <c r="H26" s="45"/>
      <c r="Q26" s="42"/>
      <c r="Z26" s="41"/>
      <c r="AI26" s="4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D984A-3B08-4113-AA7F-593217E2C841}">
  <sheetPr codeName="Sheet5"/>
  <dimension ref="A1:S1844"/>
  <sheetViews>
    <sheetView workbookViewId="0"/>
  </sheetViews>
  <sheetFormatPr defaultRowHeight="14" x14ac:dyDescent="0.3"/>
  <cols>
    <col min="1" max="1" width="9.5" bestFit="1" customWidth="1"/>
    <col min="2" max="2" width="11.5" bestFit="1" customWidth="1"/>
    <col min="3" max="3" width="20.19921875" bestFit="1" customWidth="1"/>
    <col min="4" max="4" width="17.09765625" bestFit="1" customWidth="1"/>
    <col min="5" max="5" width="11.09765625" bestFit="1" customWidth="1"/>
    <col min="6" max="6" width="18" bestFit="1" customWidth="1"/>
    <col min="7" max="7" width="25.69921875" bestFit="1" customWidth="1"/>
    <col min="8" max="8" width="6.09765625" bestFit="1" customWidth="1"/>
    <col min="9" max="9" width="10.296875" bestFit="1" customWidth="1"/>
    <col min="10" max="10" width="19.5" bestFit="1" customWidth="1"/>
    <col min="11" max="11" width="14.19921875" bestFit="1" customWidth="1"/>
    <col min="12" max="12" width="19" bestFit="1" customWidth="1"/>
    <col min="13" max="13" width="15.09765625" bestFit="1" customWidth="1"/>
    <col min="14" max="14" width="13.796875" bestFit="1" customWidth="1"/>
    <col min="15" max="15" width="6.796875" bestFit="1" customWidth="1"/>
    <col min="16" max="16" width="13.19921875" bestFit="1" customWidth="1"/>
    <col min="17" max="19" width="11.69921875" bestFit="1" customWidth="1"/>
  </cols>
  <sheetData>
    <row r="1" spans="1:19" x14ac:dyDescent="0.3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4</v>
      </c>
      <c r="P1" t="s">
        <v>5</v>
      </c>
      <c r="Q1" t="s">
        <v>36</v>
      </c>
      <c r="R1" t="s">
        <v>37</v>
      </c>
      <c r="S1" t="s">
        <v>38</v>
      </c>
    </row>
    <row r="2" spans="1:19" x14ac:dyDescent="0.3">
      <c r="A2" s="1">
        <v>45658</v>
      </c>
      <c r="B2" s="2" t="s">
        <v>39</v>
      </c>
      <c r="C2" s="2" t="s">
        <v>40</v>
      </c>
      <c r="D2" s="2" t="s">
        <v>41</v>
      </c>
      <c r="E2" s="2" t="s">
        <v>42</v>
      </c>
      <c r="F2" s="2" t="s">
        <v>43</v>
      </c>
      <c r="G2" s="2" t="s">
        <v>44</v>
      </c>
      <c r="H2">
        <v>1</v>
      </c>
      <c r="I2">
        <v>1</v>
      </c>
      <c r="J2">
        <v>614.45000000000005</v>
      </c>
      <c r="K2">
        <v>0</v>
      </c>
      <c r="L2">
        <v>395</v>
      </c>
      <c r="M2">
        <v>614.45000000000005</v>
      </c>
      <c r="N2">
        <v>614.45000000000005</v>
      </c>
      <c r="O2">
        <v>395</v>
      </c>
      <c r="P2">
        <v>219.45000000000005</v>
      </c>
    </row>
    <row r="3" spans="1:19" x14ac:dyDescent="0.3">
      <c r="A3" s="1">
        <v>45658</v>
      </c>
      <c r="B3" s="2" t="s">
        <v>39</v>
      </c>
      <c r="C3" s="2" t="s">
        <v>45</v>
      </c>
      <c r="D3" s="2" t="s">
        <v>46</v>
      </c>
      <c r="E3" s="2" t="s">
        <v>47</v>
      </c>
      <c r="F3" s="2" t="s">
        <v>48</v>
      </c>
      <c r="G3" s="2" t="s">
        <v>49</v>
      </c>
      <c r="H3">
        <v>1</v>
      </c>
      <c r="I3">
        <v>2</v>
      </c>
      <c r="J3">
        <v>97.66</v>
      </c>
      <c r="K3">
        <v>0.1</v>
      </c>
      <c r="L3">
        <v>39</v>
      </c>
      <c r="M3">
        <v>195.32</v>
      </c>
      <c r="N3">
        <v>175.78800000000001</v>
      </c>
      <c r="O3">
        <v>78</v>
      </c>
      <c r="P3">
        <v>97.788000000000011</v>
      </c>
    </row>
    <row r="4" spans="1:19" x14ac:dyDescent="0.3">
      <c r="A4" s="1">
        <v>45658</v>
      </c>
      <c r="B4" s="2" t="s">
        <v>39</v>
      </c>
      <c r="C4" s="2" t="s">
        <v>45</v>
      </c>
      <c r="D4" s="2" t="s">
        <v>50</v>
      </c>
      <c r="E4" s="2" t="s">
        <v>51</v>
      </c>
      <c r="F4" s="2" t="s">
        <v>52</v>
      </c>
      <c r="G4" s="2" t="s">
        <v>53</v>
      </c>
      <c r="H4">
        <v>1</v>
      </c>
      <c r="I4">
        <v>3</v>
      </c>
      <c r="J4">
        <v>189.07</v>
      </c>
      <c r="K4">
        <v>0.1</v>
      </c>
      <c r="L4">
        <v>124</v>
      </c>
      <c r="M4">
        <v>567.21</v>
      </c>
      <c r="N4">
        <v>510.48900000000003</v>
      </c>
      <c r="O4">
        <v>372</v>
      </c>
      <c r="P4">
        <v>138.48900000000003</v>
      </c>
    </row>
    <row r="5" spans="1:19" x14ac:dyDescent="0.3">
      <c r="A5" s="1">
        <v>45658</v>
      </c>
      <c r="B5" s="2" t="s">
        <v>39</v>
      </c>
      <c r="C5" s="2" t="s">
        <v>45</v>
      </c>
      <c r="D5" s="2" t="s">
        <v>50</v>
      </c>
      <c r="E5" s="2" t="s">
        <v>51</v>
      </c>
      <c r="F5" s="2" t="s">
        <v>43</v>
      </c>
      <c r="G5" s="2" t="s">
        <v>53</v>
      </c>
      <c r="H5">
        <v>1</v>
      </c>
      <c r="I5">
        <v>5</v>
      </c>
      <c r="J5">
        <v>741.11</v>
      </c>
      <c r="K5">
        <v>0.05</v>
      </c>
      <c r="L5">
        <v>520</v>
      </c>
      <c r="M5">
        <v>3705.55</v>
      </c>
      <c r="N5">
        <v>3520.2725</v>
      </c>
      <c r="O5">
        <v>2600</v>
      </c>
      <c r="P5">
        <v>920.27250000000004</v>
      </c>
    </row>
    <row r="6" spans="1:19" x14ac:dyDescent="0.3">
      <c r="A6" s="1">
        <v>45658</v>
      </c>
      <c r="B6" s="2" t="s">
        <v>39</v>
      </c>
      <c r="C6" s="2" t="s">
        <v>54</v>
      </c>
      <c r="D6" s="2" t="s">
        <v>41</v>
      </c>
      <c r="E6" s="2" t="s">
        <v>47</v>
      </c>
      <c r="F6" s="2" t="s">
        <v>48</v>
      </c>
      <c r="G6" s="2" t="s">
        <v>55</v>
      </c>
      <c r="H6">
        <v>1</v>
      </c>
      <c r="I6">
        <v>6</v>
      </c>
      <c r="J6">
        <v>95.74</v>
      </c>
      <c r="K6">
        <v>0</v>
      </c>
      <c r="L6">
        <v>39</v>
      </c>
      <c r="M6">
        <v>574.43999999999994</v>
      </c>
      <c r="N6">
        <v>574.43999999999994</v>
      </c>
      <c r="O6">
        <v>234</v>
      </c>
      <c r="P6">
        <v>340.43999999999994</v>
      </c>
    </row>
    <row r="7" spans="1:19" x14ac:dyDescent="0.3">
      <c r="A7" s="1">
        <v>45658</v>
      </c>
      <c r="B7" s="2" t="s">
        <v>56</v>
      </c>
      <c r="C7" s="2" t="s">
        <v>57</v>
      </c>
      <c r="D7" s="2" t="s">
        <v>46</v>
      </c>
      <c r="E7" s="2" t="s">
        <v>42</v>
      </c>
      <c r="F7" s="2" t="s">
        <v>52</v>
      </c>
      <c r="G7" s="2" t="s">
        <v>58</v>
      </c>
      <c r="H7">
        <v>1</v>
      </c>
      <c r="I7">
        <v>3</v>
      </c>
      <c r="J7">
        <v>43.16</v>
      </c>
      <c r="K7">
        <v>0.1</v>
      </c>
      <c r="L7">
        <v>18</v>
      </c>
      <c r="M7">
        <v>129.47999999999999</v>
      </c>
      <c r="N7">
        <v>116.532</v>
      </c>
      <c r="O7">
        <v>54</v>
      </c>
      <c r="P7">
        <v>62.531999999999996</v>
      </c>
    </row>
    <row r="8" spans="1:19" x14ac:dyDescent="0.3">
      <c r="A8" s="1">
        <v>45658</v>
      </c>
      <c r="B8" s="2" t="s">
        <v>56</v>
      </c>
      <c r="C8" s="2" t="s">
        <v>57</v>
      </c>
      <c r="D8" s="2" t="s">
        <v>46</v>
      </c>
      <c r="E8" s="2" t="s">
        <v>42</v>
      </c>
      <c r="F8" s="2" t="s">
        <v>48</v>
      </c>
      <c r="G8" s="2" t="s">
        <v>58</v>
      </c>
      <c r="H8">
        <v>1</v>
      </c>
      <c r="I8">
        <v>2</v>
      </c>
      <c r="J8">
        <v>91.99</v>
      </c>
      <c r="K8">
        <v>0.08</v>
      </c>
      <c r="L8">
        <v>39</v>
      </c>
      <c r="M8">
        <v>183.98</v>
      </c>
      <c r="N8">
        <v>169.26159999999999</v>
      </c>
      <c r="O8">
        <v>78</v>
      </c>
      <c r="P8">
        <v>91.261599999999987</v>
      </c>
    </row>
    <row r="9" spans="1:19" x14ac:dyDescent="0.3">
      <c r="A9" s="1">
        <v>45658</v>
      </c>
      <c r="B9" s="2" t="s">
        <v>39</v>
      </c>
      <c r="C9" s="2" t="s">
        <v>45</v>
      </c>
      <c r="D9" s="2" t="s">
        <v>50</v>
      </c>
      <c r="E9" s="2" t="s">
        <v>42</v>
      </c>
      <c r="F9" s="2" t="s">
        <v>48</v>
      </c>
      <c r="G9" s="2" t="s">
        <v>59</v>
      </c>
      <c r="H9">
        <v>1</v>
      </c>
      <c r="I9">
        <v>1</v>
      </c>
      <c r="J9">
        <v>22.97</v>
      </c>
      <c r="K9">
        <v>0.05</v>
      </c>
      <c r="L9">
        <v>8</v>
      </c>
      <c r="M9">
        <v>22.97</v>
      </c>
      <c r="N9">
        <v>21.821499999999997</v>
      </c>
      <c r="O9">
        <v>8</v>
      </c>
      <c r="P9">
        <v>13.821499999999997</v>
      </c>
    </row>
    <row r="10" spans="1:19" x14ac:dyDescent="0.3">
      <c r="A10" s="1">
        <v>45658</v>
      </c>
      <c r="B10" s="2" t="s">
        <v>56</v>
      </c>
      <c r="C10" s="2" t="s">
        <v>57</v>
      </c>
      <c r="D10" s="2" t="s">
        <v>50</v>
      </c>
      <c r="E10" s="2" t="s">
        <v>51</v>
      </c>
      <c r="F10" s="2" t="s">
        <v>43</v>
      </c>
      <c r="G10" s="2" t="s">
        <v>60</v>
      </c>
      <c r="H10">
        <v>1</v>
      </c>
      <c r="I10">
        <v>12</v>
      </c>
      <c r="J10">
        <v>273.66000000000003</v>
      </c>
      <c r="K10">
        <v>0.08</v>
      </c>
      <c r="L10">
        <v>182</v>
      </c>
      <c r="M10">
        <v>3283.92</v>
      </c>
      <c r="N10">
        <v>3021.2064</v>
      </c>
      <c r="O10">
        <v>2184</v>
      </c>
      <c r="P10">
        <v>837.20640000000003</v>
      </c>
    </row>
    <row r="11" spans="1:19" x14ac:dyDescent="0.3">
      <c r="A11" s="1">
        <v>45658</v>
      </c>
      <c r="B11" s="2" t="s">
        <v>39</v>
      </c>
      <c r="C11" s="2" t="s">
        <v>45</v>
      </c>
      <c r="D11" s="2" t="s">
        <v>41</v>
      </c>
      <c r="E11" s="2" t="s">
        <v>47</v>
      </c>
      <c r="F11" s="2" t="s">
        <v>43</v>
      </c>
      <c r="G11" s="2" t="s">
        <v>61</v>
      </c>
      <c r="H11">
        <v>1</v>
      </c>
      <c r="I11">
        <v>4</v>
      </c>
      <c r="J11">
        <v>632.71</v>
      </c>
      <c r="K11">
        <v>0</v>
      </c>
      <c r="L11">
        <v>395</v>
      </c>
      <c r="M11">
        <v>2530.84</v>
      </c>
      <c r="N11">
        <v>2530.84</v>
      </c>
      <c r="O11">
        <v>1580</v>
      </c>
      <c r="P11">
        <v>950.84000000000015</v>
      </c>
    </row>
    <row r="12" spans="1:19" x14ac:dyDescent="0.3">
      <c r="A12" s="1">
        <v>45658</v>
      </c>
      <c r="B12" s="2" t="s">
        <v>56</v>
      </c>
      <c r="C12" s="2" t="s">
        <v>62</v>
      </c>
      <c r="D12" s="2" t="s">
        <v>46</v>
      </c>
      <c r="E12" s="2" t="s">
        <v>42</v>
      </c>
      <c r="F12" s="2" t="s">
        <v>52</v>
      </c>
      <c r="G12" s="2" t="s">
        <v>63</v>
      </c>
      <c r="H12">
        <v>1</v>
      </c>
      <c r="I12">
        <v>3</v>
      </c>
      <c r="J12">
        <v>42.61</v>
      </c>
      <c r="K12">
        <v>0.15</v>
      </c>
      <c r="L12">
        <v>18</v>
      </c>
      <c r="M12">
        <v>127.83</v>
      </c>
      <c r="N12">
        <v>108.65549999999999</v>
      </c>
      <c r="O12">
        <v>54</v>
      </c>
      <c r="P12">
        <v>54.655499999999989</v>
      </c>
    </row>
    <row r="13" spans="1:19" x14ac:dyDescent="0.3">
      <c r="A13" s="1">
        <v>45658</v>
      </c>
      <c r="B13" s="2" t="s">
        <v>39</v>
      </c>
      <c r="C13" s="2" t="s">
        <v>40</v>
      </c>
      <c r="D13" s="2" t="s">
        <v>41</v>
      </c>
      <c r="E13" s="2" t="s">
        <v>42</v>
      </c>
      <c r="F13" s="2" t="s">
        <v>43</v>
      </c>
      <c r="G13" s="2" t="s">
        <v>64</v>
      </c>
      <c r="H13">
        <v>1</v>
      </c>
      <c r="I13">
        <v>2</v>
      </c>
      <c r="J13">
        <v>1142.02</v>
      </c>
      <c r="K13">
        <v>0</v>
      </c>
      <c r="L13">
        <v>760</v>
      </c>
      <c r="M13">
        <v>2284.04</v>
      </c>
      <c r="N13">
        <v>2284.04</v>
      </c>
      <c r="O13">
        <v>1520</v>
      </c>
      <c r="P13">
        <v>764.04</v>
      </c>
    </row>
    <row r="14" spans="1:19" x14ac:dyDescent="0.3">
      <c r="A14" s="1">
        <v>45658</v>
      </c>
      <c r="B14" s="2" t="s">
        <v>65</v>
      </c>
      <c r="C14" s="2" t="s">
        <v>66</v>
      </c>
      <c r="D14" s="2" t="s">
        <v>41</v>
      </c>
      <c r="E14" s="2" t="s">
        <v>51</v>
      </c>
      <c r="F14" s="2" t="s">
        <v>43</v>
      </c>
      <c r="G14" s="2" t="s">
        <v>67</v>
      </c>
      <c r="H14">
        <v>1</v>
      </c>
      <c r="I14">
        <v>9</v>
      </c>
      <c r="J14">
        <v>733.21</v>
      </c>
      <c r="K14">
        <v>0</v>
      </c>
      <c r="L14">
        <v>520</v>
      </c>
      <c r="M14">
        <v>6598.89</v>
      </c>
      <c r="N14">
        <v>6598.89</v>
      </c>
      <c r="O14">
        <v>4680</v>
      </c>
      <c r="P14">
        <v>1918.8900000000003</v>
      </c>
    </row>
    <row r="15" spans="1:19" x14ac:dyDescent="0.3">
      <c r="A15" s="1">
        <v>45658</v>
      </c>
      <c r="B15" s="2" t="s">
        <v>65</v>
      </c>
      <c r="C15" s="2" t="s">
        <v>66</v>
      </c>
      <c r="D15" s="2" t="s">
        <v>41</v>
      </c>
      <c r="E15" s="2" t="s">
        <v>51</v>
      </c>
      <c r="F15" s="2" t="s">
        <v>48</v>
      </c>
      <c r="G15" s="2" t="s">
        <v>68</v>
      </c>
      <c r="H15">
        <v>1</v>
      </c>
      <c r="I15">
        <v>16</v>
      </c>
      <c r="J15">
        <v>22.09</v>
      </c>
      <c r="K15">
        <v>0.05</v>
      </c>
      <c r="L15">
        <v>8</v>
      </c>
      <c r="M15">
        <v>353.44</v>
      </c>
      <c r="N15">
        <v>335.76799999999997</v>
      </c>
      <c r="O15">
        <v>128</v>
      </c>
      <c r="P15">
        <v>207.76799999999997</v>
      </c>
    </row>
    <row r="16" spans="1:19" x14ac:dyDescent="0.3">
      <c r="A16" s="1">
        <v>45658</v>
      </c>
      <c r="B16" s="2" t="s">
        <v>65</v>
      </c>
      <c r="C16" s="2" t="s">
        <v>66</v>
      </c>
      <c r="D16" s="2" t="s">
        <v>41</v>
      </c>
      <c r="E16" s="2" t="s">
        <v>51</v>
      </c>
      <c r="F16" s="2" t="s">
        <v>43</v>
      </c>
      <c r="G16" s="2" t="s">
        <v>68</v>
      </c>
      <c r="H16">
        <v>1</v>
      </c>
      <c r="I16">
        <v>10</v>
      </c>
      <c r="J16">
        <v>163</v>
      </c>
      <c r="K16">
        <v>0.05</v>
      </c>
      <c r="L16">
        <v>86</v>
      </c>
      <c r="M16">
        <v>1630</v>
      </c>
      <c r="N16">
        <v>1548.5</v>
      </c>
      <c r="O16">
        <v>860</v>
      </c>
      <c r="P16">
        <v>688.5</v>
      </c>
    </row>
    <row r="17" spans="1:16" x14ac:dyDescent="0.3">
      <c r="A17" s="1">
        <v>45658</v>
      </c>
      <c r="B17" s="2" t="s">
        <v>39</v>
      </c>
      <c r="C17" s="2" t="s">
        <v>54</v>
      </c>
      <c r="D17" s="2" t="s">
        <v>41</v>
      </c>
      <c r="E17" s="2" t="s">
        <v>47</v>
      </c>
      <c r="F17" s="2" t="s">
        <v>43</v>
      </c>
      <c r="G17" s="2" t="s">
        <v>69</v>
      </c>
      <c r="H17">
        <v>1</v>
      </c>
      <c r="I17">
        <v>4</v>
      </c>
      <c r="J17">
        <v>842.47</v>
      </c>
      <c r="K17">
        <v>0.1</v>
      </c>
      <c r="L17">
        <v>520</v>
      </c>
      <c r="M17">
        <v>3369.88</v>
      </c>
      <c r="N17">
        <v>3032.8920000000003</v>
      </c>
      <c r="O17">
        <v>2080</v>
      </c>
      <c r="P17">
        <v>952.89200000000028</v>
      </c>
    </row>
    <row r="18" spans="1:16" x14ac:dyDescent="0.3">
      <c r="A18" s="1">
        <v>45658</v>
      </c>
      <c r="B18" s="2" t="s">
        <v>70</v>
      </c>
      <c r="C18" s="2" t="s">
        <v>45</v>
      </c>
      <c r="D18" s="2" t="s">
        <v>50</v>
      </c>
      <c r="E18" s="2" t="s">
        <v>42</v>
      </c>
      <c r="F18" s="2" t="s">
        <v>52</v>
      </c>
      <c r="G18" s="2" t="s">
        <v>71</v>
      </c>
      <c r="H18">
        <v>1</v>
      </c>
      <c r="I18">
        <v>3</v>
      </c>
      <c r="J18">
        <v>214.26</v>
      </c>
      <c r="K18">
        <v>0.1</v>
      </c>
      <c r="L18">
        <v>124</v>
      </c>
      <c r="M18">
        <v>642.78</v>
      </c>
      <c r="N18">
        <v>578.50199999999995</v>
      </c>
      <c r="O18">
        <v>372</v>
      </c>
      <c r="P18">
        <v>206.50199999999995</v>
      </c>
    </row>
    <row r="19" spans="1:16" x14ac:dyDescent="0.3">
      <c r="A19" s="1">
        <v>45658</v>
      </c>
      <c r="B19" s="2" t="s">
        <v>70</v>
      </c>
      <c r="C19" s="2" t="s">
        <v>45</v>
      </c>
      <c r="D19" s="2" t="s">
        <v>50</v>
      </c>
      <c r="E19" s="2" t="s">
        <v>42</v>
      </c>
      <c r="F19" s="2" t="s">
        <v>48</v>
      </c>
      <c r="G19" s="2" t="s">
        <v>71</v>
      </c>
      <c r="H19">
        <v>2</v>
      </c>
      <c r="I19">
        <v>5</v>
      </c>
      <c r="J19">
        <v>84.289999999999992</v>
      </c>
      <c r="K19">
        <v>0.1</v>
      </c>
      <c r="L19">
        <v>35</v>
      </c>
      <c r="M19">
        <v>456.64</v>
      </c>
      <c r="N19">
        <v>417.20640000000003</v>
      </c>
      <c r="O19">
        <v>187</v>
      </c>
      <c r="P19">
        <v>230.20640000000003</v>
      </c>
    </row>
    <row r="20" spans="1:16" x14ac:dyDescent="0.3">
      <c r="A20" s="1">
        <v>45658</v>
      </c>
      <c r="B20" s="2" t="s">
        <v>56</v>
      </c>
      <c r="C20" s="2" t="s">
        <v>72</v>
      </c>
      <c r="D20" s="2" t="s">
        <v>50</v>
      </c>
      <c r="E20" s="2" t="s">
        <v>47</v>
      </c>
      <c r="F20" s="2" t="s">
        <v>52</v>
      </c>
      <c r="G20" s="2" t="s">
        <v>73</v>
      </c>
      <c r="H20">
        <v>1</v>
      </c>
      <c r="I20">
        <v>2</v>
      </c>
      <c r="J20">
        <v>44.57</v>
      </c>
      <c r="K20">
        <v>0.08</v>
      </c>
      <c r="L20">
        <v>18</v>
      </c>
      <c r="M20">
        <v>89.14</v>
      </c>
      <c r="N20">
        <v>82.008800000000008</v>
      </c>
      <c r="O20">
        <v>36</v>
      </c>
      <c r="P20">
        <v>46.008800000000008</v>
      </c>
    </row>
    <row r="21" spans="1:16" x14ac:dyDescent="0.3">
      <c r="A21" s="1">
        <v>45658</v>
      </c>
      <c r="B21" s="2" t="s">
        <v>65</v>
      </c>
      <c r="C21" s="2" t="s">
        <v>66</v>
      </c>
      <c r="D21" s="2" t="s">
        <v>50</v>
      </c>
      <c r="E21" s="2" t="s">
        <v>47</v>
      </c>
      <c r="F21" s="2" t="s">
        <v>43</v>
      </c>
      <c r="G21" s="2" t="s">
        <v>74</v>
      </c>
      <c r="H21">
        <v>1</v>
      </c>
      <c r="I21">
        <v>1</v>
      </c>
      <c r="J21">
        <v>106.84</v>
      </c>
      <c r="K21">
        <v>0.05</v>
      </c>
      <c r="L21">
        <v>54</v>
      </c>
      <c r="M21">
        <v>106.84</v>
      </c>
      <c r="N21">
        <v>101.498</v>
      </c>
      <c r="O21">
        <v>54</v>
      </c>
      <c r="P21">
        <v>47.498000000000005</v>
      </c>
    </row>
    <row r="22" spans="1:16" x14ac:dyDescent="0.3">
      <c r="A22" s="1">
        <v>45658</v>
      </c>
      <c r="B22" s="2" t="s">
        <v>75</v>
      </c>
      <c r="C22" s="2" t="s">
        <v>76</v>
      </c>
      <c r="D22" s="2" t="s">
        <v>46</v>
      </c>
      <c r="E22" s="2" t="s">
        <v>47</v>
      </c>
      <c r="F22" s="2" t="s">
        <v>43</v>
      </c>
      <c r="G22" s="2" t="s">
        <v>77</v>
      </c>
      <c r="H22">
        <v>2</v>
      </c>
      <c r="I22">
        <v>3</v>
      </c>
      <c r="J22">
        <v>763.495</v>
      </c>
      <c r="K22">
        <v>0.13500000000000001</v>
      </c>
      <c r="L22">
        <v>457.5</v>
      </c>
      <c r="M22">
        <v>2178.62</v>
      </c>
      <c r="N22">
        <v>1878.0878</v>
      </c>
      <c r="O22">
        <v>1310</v>
      </c>
      <c r="P22">
        <v>568.08780000000002</v>
      </c>
    </row>
    <row r="23" spans="1:16" x14ac:dyDescent="0.3">
      <c r="A23" s="1">
        <v>45658</v>
      </c>
      <c r="B23" s="2" t="s">
        <v>39</v>
      </c>
      <c r="C23" s="2" t="s">
        <v>78</v>
      </c>
      <c r="D23" s="2" t="s">
        <v>46</v>
      </c>
      <c r="E23" s="2" t="s">
        <v>42</v>
      </c>
      <c r="F23" s="2" t="s">
        <v>43</v>
      </c>
      <c r="G23" s="2" t="s">
        <v>79</v>
      </c>
      <c r="H23">
        <v>2</v>
      </c>
      <c r="I23">
        <v>3</v>
      </c>
      <c r="J23">
        <v>721.35500000000002</v>
      </c>
      <c r="K23">
        <v>0.12</v>
      </c>
      <c r="L23">
        <v>457.5</v>
      </c>
      <c r="M23">
        <v>2036.3899999999999</v>
      </c>
      <c r="N23">
        <v>1792.0232000000001</v>
      </c>
      <c r="O23">
        <v>1310</v>
      </c>
      <c r="P23">
        <v>482.02319999999997</v>
      </c>
    </row>
    <row r="24" spans="1:16" x14ac:dyDescent="0.3">
      <c r="A24" s="1">
        <v>45658</v>
      </c>
      <c r="B24" s="2" t="s">
        <v>65</v>
      </c>
      <c r="C24" s="2" t="s">
        <v>80</v>
      </c>
      <c r="D24" s="2" t="s">
        <v>50</v>
      </c>
      <c r="E24" s="2" t="s">
        <v>42</v>
      </c>
      <c r="F24" s="2" t="s">
        <v>43</v>
      </c>
      <c r="G24" s="2" t="s">
        <v>81</v>
      </c>
      <c r="H24">
        <v>1</v>
      </c>
      <c r="I24">
        <v>2</v>
      </c>
      <c r="J24">
        <v>302.77999999999997</v>
      </c>
      <c r="K24">
        <v>0.05</v>
      </c>
      <c r="L24">
        <v>182</v>
      </c>
      <c r="M24">
        <v>605.55999999999995</v>
      </c>
      <c r="N24">
        <v>575.28199999999993</v>
      </c>
      <c r="O24">
        <v>364</v>
      </c>
      <c r="P24">
        <v>211.28199999999993</v>
      </c>
    </row>
    <row r="25" spans="1:16" x14ac:dyDescent="0.3">
      <c r="A25" s="1">
        <v>45658</v>
      </c>
      <c r="B25" s="2" t="s">
        <v>39</v>
      </c>
      <c r="C25" s="2" t="s">
        <v>40</v>
      </c>
      <c r="D25" s="2" t="s">
        <v>46</v>
      </c>
      <c r="E25" s="2" t="s">
        <v>47</v>
      </c>
      <c r="F25" s="2" t="s">
        <v>43</v>
      </c>
      <c r="G25" s="2" t="s">
        <v>82</v>
      </c>
      <c r="H25">
        <v>2</v>
      </c>
      <c r="I25">
        <v>6</v>
      </c>
      <c r="J25">
        <v>703.17500000000007</v>
      </c>
      <c r="K25">
        <v>0.125</v>
      </c>
      <c r="L25">
        <v>423</v>
      </c>
      <c r="M25">
        <v>3164.52</v>
      </c>
      <c r="N25">
        <v>2812.8860000000004</v>
      </c>
      <c r="O25">
        <v>1864</v>
      </c>
      <c r="P25">
        <v>948.88600000000031</v>
      </c>
    </row>
    <row r="26" spans="1:16" x14ac:dyDescent="0.3">
      <c r="A26" s="1">
        <v>45658</v>
      </c>
      <c r="B26" s="2" t="s">
        <v>83</v>
      </c>
      <c r="C26" s="2" t="s">
        <v>84</v>
      </c>
      <c r="D26" s="2" t="s">
        <v>50</v>
      </c>
      <c r="E26" s="2" t="s">
        <v>42</v>
      </c>
      <c r="F26" s="2" t="s">
        <v>43</v>
      </c>
      <c r="G26" s="2" t="s">
        <v>85</v>
      </c>
      <c r="H26">
        <v>1</v>
      </c>
      <c r="I26">
        <v>1</v>
      </c>
      <c r="J26">
        <v>105.87</v>
      </c>
      <c r="K26">
        <v>0.08</v>
      </c>
      <c r="L26">
        <v>54</v>
      </c>
      <c r="M26">
        <v>105.87</v>
      </c>
      <c r="N26">
        <v>97.400400000000005</v>
      </c>
      <c r="O26">
        <v>54</v>
      </c>
      <c r="P26">
        <v>43.400400000000005</v>
      </c>
    </row>
    <row r="27" spans="1:16" x14ac:dyDescent="0.3">
      <c r="A27" s="1">
        <v>45658</v>
      </c>
      <c r="B27" s="2" t="s">
        <v>39</v>
      </c>
      <c r="C27" s="2" t="s">
        <v>54</v>
      </c>
      <c r="D27" s="2" t="s">
        <v>41</v>
      </c>
      <c r="E27" s="2" t="s">
        <v>42</v>
      </c>
      <c r="F27" s="2" t="s">
        <v>43</v>
      </c>
      <c r="G27" s="2" t="s">
        <v>86</v>
      </c>
      <c r="H27">
        <v>1</v>
      </c>
      <c r="I27">
        <v>2</v>
      </c>
      <c r="J27">
        <v>608.01</v>
      </c>
      <c r="K27">
        <v>0</v>
      </c>
      <c r="L27">
        <v>395</v>
      </c>
      <c r="M27">
        <v>1216.02</v>
      </c>
      <c r="N27">
        <v>1216.02</v>
      </c>
      <c r="O27">
        <v>790</v>
      </c>
      <c r="P27">
        <v>426.02</v>
      </c>
    </row>
    <row r="28" spans="1:16" x14ac:dyDescent="0.3">
      <c r="A28" s="1">
        <v>45658</v>
      </c>
      <c r="B28" s="2" t="s">
        <v>39</v>
      </c>
      <c r="C28" s="2" t="s">
        <v>45</v>
      </c>
      <c r="D28" s="2" t="s">
        <v>41</v>
      </c>
      <c r="E28" s="2" t="s">
        <v>42</v>
      </c>
      <c r="F28" s="2" t="s">
        <v>48</v>
      </c>
      <c r="G28" s="2" t="s">
        <v>87</v>
      </c>
      <c r="H28">
        <v>1</v>
      </c>
      <c r="I28">
        <v>4</v>
      </c>
      <c r="J28">
        <v>94.94</v>
      </c>
      <c r="K28">
        <v>0</v>
      </c>
      <c r="L28">
        <v>39</v>
      </c>
      <c r="M28">
        <v>379.76</v>
      </c>
      <c r="N28">
        <v>379.76</v>
      </c>
      <c r="O28">
        <v>156</v>
      </c>
      <c r="P28">
        <v>223.76</v>
      </c>
    </row>
    <row r="29" spans="1:16" x14ac:dyDescent="0.3">
      <c r="A29" s="1">
        <v>45658</v>
      </c>
      <c r="B29" s="2" t="s">
        <v>39</v>
      </c>
      <c r="C29" s="2" t="s">
        <v>45</v>
      </c>
      <c r="D29" s="2" t="s">
        <v>41</v>
      </c>
      <c r="E29" s="2" t="s">
        <v>42</v>
      </c>
      <c r="F29" s="2" t="s">
        <v>43</v>
      </c>
      <c r="G29" s="2" t="s">
        <v>87</v>
      </c>
      <c r="H29">
        <v>1</v>
      </c>
      <c r="I29">
        <v>2</v>
      </c>
      <c r="J29">
        <v>299.06</v>
      </c>
      <c r="K29">
        <v>0</v>
      </c>
      <c r="L29">
        <v>182</v>
      </c>
      <c r="M29">
        <v>598.12</v>
      </c>
      <c r="N29">
        <v>598.12</v>
      </c>
      <c r="O29">
        <v>364</v>
      </c>
      <c r="P29">
        <v>234.12</v>
      </c>
    </row>
    <row r="30" spans="1:16" x14ac:dyDescent="0.3">
      <c r="A30" s="1">
        <v>45658</v>
      </c>
      <c r="B30" s="2" t="s">
        <v>39</v>
      </c>
      <c r="C30" s="2" t="s">
        <v>88</v>
      </c>
      <c r="D30" s="2" t="s">
        <v>50</v>
      </c>
      <c r="E30" s="2" t="s">
        <v>42</v>
      </c>
      <c r="F30" s="2" t="s">
        <v>43</v>
      </c>
      <c r="G30" s="2" t="s">
        <v>89</v>
      </c>
      <c r="H30">
        <v>1</v>
      </c>
      <c r="I30">
        <v>2</v>
      </c>
      <c r="J30">
        <v>831.61</v>
      </c>
      <c r="K30">
        <v>0.1</v>
      </c>
      <c r="L30">
        <v>520</v>
      </c>
      <c r="M30">
        <v>1663.22</v>
      </c>
      <c r="N30">
        <v>1496.8980000000001</v>
      </c>
      <c r="O30">
        <v>1040</v>
      </c>
      <c r="P30">
        <v>456.89800000000014</v>
      </c>
    </row>
    <row r="31" spans="1:16" x14ac:dyDescent="0.3">
      <c r="A31" s="1">
        <v>45658</v>
      </c>
      <c r="B31" s="2" t="s">
        <v>39</v>
      </c>
      <c r="C31" s="2" t="s">
        <v>45</v>
      </c>
      <c r="D31" s="2" t="s">
        <v>46</v>
      </c>
      <c r="E31" s="2" t="s">
        <v>47</v>
      </c>
      <c r="F31" s="2" t="s">
        <v>43</v>
      </c>
      <c r="G31" s="2" t="s">
        <v>90</v>
      </c>
      <c r="H31">
        <v>1</v>
      </c>
      <c r="I31">
        <v>4</v>
      </c>
      <c r="J31">
        <v>862.79</v>
      </c>
      <c r="K31">
        <v>0.1</v>
      </c>
      <c r="L31">
        <v>520</v>
      </c>
      <c r="M31">
        <v>3451.16</v>
      </c>
      <c r="N31">
        <v>3106.0439999999999</v>
      </c>
      <c r="O31">
        <v>2080</v>
      </c>
      <c r="P31">
        <v>1026.0439999999999</v>
      </c>
    </row>
    <row r="32" spans="1:16" x14ac:dyDescent="0.3">
      <c r="A32" s="1">
        <v>45658</v>
      </c>
      <c r="B32" s="2" t="s">
        <v>83</v>
      </c>
      <c r="C32" s="2" t="s">
        <v>84</v>
      </c>
      <c r="D32" s="2" t="s">
        <v>50</v>
      </c>
      <c r="E32" s="2" t="s">
        <v>47</v>
      </c>
      <c r="F32" s="2" t="s">
        <v>43</v>
      </c>
      <c r="G32" s="2" t="s">
        <v>91</v>
      </c>
      <c r="H32">
        <v>1</v>
      </c>
      <c r="I32">
        <v>2</v>
      </c>
      <c r="J32">
        <v>175.55</v>
      </c>
      <c r="K32">
        <v>0.08</v>
      </c>
      <c r="L32">
        <v>86</v>
      </c>
      <c r="M32">
        <v>351.1</v>
      </c>
      <c r="N32">
        <v>323.01200000000006</v>
      </c>
      <c r="O32">
        <v>172</v>
      </c>
      <c r="P32">
        <v>151.01200000000006</v>
      </c>
    </row>
    <row r="33" spans="1:16" x14ac:dyDescent="0.3">
      <c r="A33" s="1">
        <v>45658</v>
      </c>
      <c r="B33" s="2" t="s">
        <v>39</v>
      </c>
      <c r="C33" s="2" t="s">
        <v>92</v>
      </c>
      <c r="D33" s="2" t="s">
        <v>46</v>
      </c>
      <c r="E33" s="2" t="s">
        <v>42</v>
      </c>
      <c r="F33" s="2" t="s">
        <v>43</v>
      </c>
      <c r="G33" s="2" t="s">
        <v>93</v>
      </c>
      <c r="H33">
        <v>1</v>
      </c>
      <c r="I33">
        <v>2</v>
      </c>
      <c r="J33">
        <v>636.97</v>
      </c>
      <c r="K33">
        <v>0.1</v>
      </c>
      <c r="L33">
        <v>395</v>
      </c>
      <c r="M33">
        <v>1273.94</v>
      </c>
      <c r="N33">
        <v>1146.546</v>
      </c>
      <c r="O33">
        <v>790</v>
      </c>
      <c r="P33">
        <v>356.54600000000005</v>
      </c>
    </row>
    <row r="34" spans="1:16" x14ac:dyDescent="0.3">
      <c r="A34" s="1">
        <v>45658</v>
      </c>
      <c r="B34" s="2" t="s">
        <v>39</v>
      </c>
      <c r="C34" s="2" t="s">
        <v>45</v>
      </c>
      <c r="D34" s="2" t="s">
        <v>41</v>
      </c>
      <c r="E34" s="2" t="s">
        <v>42</v>
      </c>
      <c r="F34" s="2" t="s">
        <v>43</v>
      </c>
      <c r="G34" s="2" t="s">
        <v>94</v>
      </c>
      <c r="H34">
        <v>3</v>
      </c>
      <c r="I34">
        <v>4</v>
      </c>
      <c r="J34">
        <v>731.45666666666671</v>
      </c>
      <c r="K34">
        <v>1.6666666666666666E-2</v>
      </c>
      <c r="L34">
        <v>252</v>
      </c>
      <c r="M34">
        <v>2489.4499999999998</v>
      </c>
      <c r="N34">
        <v>2449.4854999999998</v>
      </c>
      <c r="O34">
        <v>938</v>
      </c>
      <c r="P34">
        <v>1511.4854999999998</v>
      </c>
    </row>
    <row r="35" spans="1:16" x14ac:dyDescent="0.3">
      <c r="A35" s="1">
        <v>45658</v>
      </c>
      <c r="B35" s="2" t="s">
        <v>56</v>
      </c>
      <c r="C35" s="2" t="s">
        <v>72</v>
      </c>
      <c r="D35" s="2" t="s">
        <v>95</v>
      </c>
      <c r="E35" s="2" t="s">
        <v>47</v>
      </c>
      <c r="F35" s="2" t="s">
        <v>43</v>
      </c>
      <c r="G35" s="2" t="s">
        <v>96</v>
      </c>
      <c r="H35">
        <v>1</v>
      </c>
      <c r="I35">
        <v>3</v>
      </c>
      <c r="J35">
        <v>306.23</v>
      </c>
      <c r="K35">
        <v>0.12</v>
      </c>
      <c r="L35">
        <v>182</v>
      </c>
      <c r="M35">
        <v>918.69</v>
      </c>
      <c r="N35">
        <v>808.44720000000007</v>
      </c>
      <c r="O35">
        <v>546</v>
      </c>
      <c r="P35">
        <v>262.44720000000007</v>
      </c>
    </row>
    <row r="36" spans="1:16" x14ac:dyDescent="0.3">
      <c r="A36" s="1">
        <v>45658</v>
      </c>
      <c r="B36" s="2" t="s">
        <v>39</v>
      </c>
      <c r="C36" s="2" t="s">
        <v>92</v>
      </c>
      <c r="D36" s="2" t="s">
        <v>50</v>
      </c>
      <c r="E36" s="2" t="s">
        <v>42</v>
      </c>
      <c r="F36" s="2" t="s">
        <v>43</v>
      </c>
      <c r="G36" s="2" t="s">
        <v>97</v>
      </c>
      <c r="H36">
        <v>1</v>
      </c>
      <c r="I36">
        <v>2</v>
      </c>
      <c r="J36">
        <v>180.27</v>
      </c>
      <c r="K36">
        <v>0.05</v>
      </c>
      <c r="L36">
        <v>86</v>
      </c>
      <c r="M36">
        <v>360.54</v>
      </c>
      <c r="N36">
        <v>342.51299999999998</v>
      </c>
      <c r="O36">
        <v>172</v>
      </c>
      <c r="P36">
        <v>170.51299999999998</v>
      </c>
    </row>
    <row r="37" spans="1:16" x14ac:dyDescent="0.3">
      <c r="A37" s="1">
        <v>45658</v>
      </c>
      <c r="B37" s="2" t="s">
        <v>39</v>
      </c>
      <c r="C37" s="2" t="s">
        <v>92</v>
      </c>
      <c r="D37" s="2" t="s">
        <v>50</v>
      </c>
      <c r="E37" s="2" t="s">
        <v>51</v>
      </c>
      <c r="F37" s="2" t="s">
        <v>43</v>
      </c>
      <c r="G37" s="2" t="s">
        <v>98</v>
      </c>
      <c r="H37">
        <v>1</v>
      </c>
      <c r="I37">
        <v>7</v>
      </c>
      <c r="J37">
        <v>752.68</v>
      </c>
      <c r="K37">
        <v>0.1</v>
      </c>
      <c r="L37">
        <v>520</v>
      </c>
      <c r="M37">
        <v>5268.7599999999993</v>
      </c>
      <c r="N37">
        <v>4741.8839999999991</v>
      </c>
      <c r="O37">
        <v>3640</v>
      </c>
      <c r="P37">
        <v>1101.8839999999991</v>
      </c>
    </row>
    <row r="38" spans="1:16" x14ac:dyDescent="0.3">
      <c r="A38" s="1">
        <v>45658</v>
      </c>
      <c r="B38" s="2" t="s">
        <v>39</v>
      </c>
      <c r="C38" s="2" t="s">
        <v>40</v>
      </c>
      <c r="D38" s="2" t="s">
        <v>46</v>
      </c>
      <c r="E38" s="2" t="s">
        <v>51</v>
      </c>
      <c r="F38" s="2" t="s">
        <v>48</v>
      </c>
      <c r="G38" s="2" t="s">
        <v>99</v>
      </c>
      <c r="H38">
        <v>1</v>
      </c>
      <c r="I38">
        <v>16</v>
      </c>
      <c r="J38">
        <v>22.19</v>
      </c>
      <c r="K38">
        <v>0.1</v>
      </c>
      <c r="L38">
        <v>8</v>
      </c>
      <c r="M38">
        <v>355.04</v>
      </c>
      <c r="N38">
        <v>319.536</v>
      </c>
      <c r="O38">
        <v>128</v>
      </c>
      <c r="P38">
        <v>191.536</v>
      </c>
    </row>
    <row r="39" spans="1:16" x14ac:dyDescent="0.3">
      <c r="A39" s="1">
        <v>45658</v>
      </c>
      <c r="B39" s="2" t="s">
        <v>56</v>
      </c>
      <c r="C39" s="2" t="s">
        <v>57</v>
      </c>
      <c r="D39" s="2" t="s">
        <v>50</v>
      </c>
      <c r="E39" s="2" t="s">
        <v>51</v>
      </c>
      <c r="F39" s="2" t="s">
        <v>43</v>
      </c>
      <c r="G39" s="2" t="s">
        <v>100</v>
      </c>
      <c r="H39">
        <v>1</v>
      </c>
      <c r="I39">
        <v>13</v>
      </c>
      <c r="J39">
        <v>155.69999999999999</v>
      </c>
      <c r="K39">
        <v>0.05</v>
      </c>
      <c r="L39">
        <v>86</v>
      </c>
      <c r="M39">
        <v>2024.1</v>
      </c>
      <c r="N39">
        <v>1922.8949999999998</v>
      </c>
      <c r="O39">
        <v>1118</v>
      </c>
      <c r="P39">
        <v>804.89499999999975</v>
      </c>
    </row>
    <row r="40" spans="1:16" x14ac:dyDescent="0.3">
      <c r="A40" s="1">
        <v>45658</v>
      </c>
      <c r="B40" s="2" t="s">
        <v>56</v>
      </c>
      <c r="C40" s="2" t="s">
        <v>72</v>
      </c>
      <c r="D40" s="2" t="s">
        <v>95</v>
      </c>
      <c r="E40" s="2" t="s">
        <v>42</v>
      </c>
      <c r="F40" s="2" t="s">
        <v>52</v>
      </c>
      <c r="G40" s="2" t="s">
        <v>96</v>
      </c>
      <c r="H40">
        <v>1</v>
      </c>
      <c r="I40">
        <v>1</v>
      </c>
      <c r="J40">
        <v>43.4</v>
      </c>
      <c r="K40">
        <v>0.08</v>
      </c>
      <c r="L40">
        <v>18</v>
      </c>
      <c r="M40">
        <v>43.4</v>
      </c>
      <c r="N40">
        <v>39.927999999999997</v>
      </c>
      <c r="O40">
        <v>18</v>
      </c>
      <c r="P40">
        <v>21.927999999999997</v>
      </c>
    </row>
    <row r="41" spans="1:16" x14ac:dyDescent="0.3">
      <c r="A41" s="1">
        <v>45658</v>
      </c>
      <c r="B41" s="2" t="s">
        <v>56</v>
      </c>
      <c r="C41" s="2" t="s">
        <v>72</v>
      </c>
      <c r="D41" s="2" t="s">
        <v>95</v>
      </c>
      <c r="E41" s="2" t="s">
        <v>42</v>
      </c>
      <c r="F41" s="2" t="s">
        <v>48</v>
      </c>
      <c r="G41" s="2" t="s">
        <v>96</v>
      </c>
      <c r="H41">
        <v>1</v>
      </c>
      <c r="I41">
        <v>2</v>
      </c>
      <c r="J41">
        <v>23.83</v>
      </c>
      <c r="K41">
        <v>0.05</v>
      </c>
      <c r="L41">
        <v>8</v>
      </c>
      <c r="M41">
        <v>47.66</v>
      </c>
      <c r="N41">
        <v>45.276999999999994</v>
      </c>
      <c r="O41">
        <v>16</v>
      </c>
      <c r="P41">
        <v>29.276999999999994</v>
      </c>
    </row>
    <row r="42" spans="1:16" x14ac:dyDescent="0.3">
      <c r="A42" s="1">
        <v>45658</v>
      </c>
      <c r="B42" s="2" t="s">
        <v>75</v>
      </c>
      <c r="C42" s="2" t="s">
        <v>76</v>
      </c>
      <c r="D42" s="2" t="s">
        <v>46</v>
      </c>
      <c r="E42" s="2" t="s">
        <v>42</v>
      </c>
      <c r="F42" s="2" t="s">
        <v>43</v>
      </c>
      <c r="G42" s="2" t="s">
        <v>77</v>
      </c>
      <c r="H42">
        <v>1</v>
      </c>
      <c r="I42">
        <v>3</v>
      </c>
      <c r="J42">
        <v>1213.5</v>
      </c>
      <c r="K42">
        <v>0.1</v>
      </c>
      <c r="L42">
        <v>760</v>
      </c>
      <c r="M42">
        <v>3640.5</v>
      </c>
      <c r="N42">
        <v>3276.4500000000003</v>
      </c>
      <c r="O42">
        <v>2280</v>
      </c>
      <c r="P42">
        <v>996.45000000000027</v>
      </c>
    </row>
    <row r="43" spans="1:16" x14ac:dyDescent="0.3">
      <c r="A43" s="1">
        <v>45658</v>
      </c>
      <c r="B43" s="2" t="s">
        <v>75</v>
      </c>
      <c r="C43" s="2" t="s">
        <v>101</v>
      </c>
      <c r="D43" s="2" t="s">
        <v>46</v>
      </c>
      <c r="E43" s="2" t="s">
        <v>42</v>
      </c>
      <c r="F43" s="2" t="s">
        <v>43</v>
      </c>
      <c r="G43" s="2" t="s">
        <v>102</v>
      </c>
      <c r="H43">
        <v>1</v>
      </c>
      <c r="I43">
        <v>3</v>
      </c>
      <c r="J43">
        <v>289.42</v>
      </c>
      <c r="K43">
        <v>0.1</v>
      </c>
      <c r="L43">
        <v>182</v>
      </c>
      <c r="M43">
        <v>868.26</v>
      </c>
      <c r="N43">
        <v>781.43399999999997</v>
      </c>
      <c r="O43">
        <v>546</v>
      </c>
      <c r="P43">
        <v>235.43399999999997</v>
      </c>
    </row>
    <row r="44" spans="1:16" x14ac:dyDescent="0.3">
      <c r="A44" s="1">
        <v>45658</v>
      </c>
      <c r="B44" s="2" t="s">
        <v>75</v>
      </c>
      <c r="C44" s="2" t="s">
        <v>101</v>
      </c>
      <c r="D44" s="2" t="s">
        <v>46</v>
      </c>
      <c r="E44" s="2" t="s">
        <v>42</v>
      </c>
      <c r="F44" s="2" t="s">
        <v>48</v>
      </c>
      <c r="G44" s="2" t="s">
        <v>102</v>
      </c>
      <c r="H44">
        <v>1</v>
      </c>
      <c r="I44">
        <v>1</v>
      </c>
      <c r="J44">
        <v>134.86000000000001</v>
      </c>
      <c r="K44">
        <v>0.12</v>
      </c>
      <c r="L44">
        <v>63</v>
      </c>
      <c r="M44">
        <v>134.86000000000001</v>
      </c>
      <c r="N44">
        <v>118.67680000000001</v>
      </c>
      <c r="O44">
        <v>63</v>
      </c>
      <c r="P44">
        <v>55.676800000000014</v>
      </c>
    </row>
    <row r="45" spans="1:16" x14ac:dyDescent="0.3">
      <c r="A45" s="1">
        <v>45658</v>
      </c>
      <c r="B45" s="2" t="s">
        <v>65</v>
      </c>
      <c r="C45" s="2" t="s">
        <v>66</v>
      </c>
      <c r="D45" s="2" t="s">
        <v>50</v>
      </c>
      <c r="E45" s="2" t="s">
        <v>42</v>
      </c>
      <c r="F45" s="2" t="s">
        <v>52</v>
      </c>
      <c r="G45" s="2" t="s">
        <v>103</v>
      </c>
      <c r="H45">
        <v>1</v>
      </c>
      <c r="I45">
        <v>2</v>
      </c>
      <c r="J45">
        <v>43.24</v>
      </c>
      <c r="K45">
        <v>0.08</v>
      </c>
      <c r="L45">
        <v>18</v>
      </c>
      <c r="M45">
        <v>86.48</v>
      </c>
      <c r="N45">
        <v>79.561600000000013</v>
      </c>
      <c r="O45">
        <v>36</v>
      </c>
      <c r="P45">
        <v>43.561600000000013</v>
      </c>
    </row>
    <row r="46" spans="1:16" x14ac:dyDescent="0.3">
      <c r="A46" s="1">
        <v>45658</v>
      </c>
      <c r="B46" s="2" t="s">
        <v>65</v>
      </c>
      <c r="C46" s="2" t="s">
        <v>66</v>
      </c>
      <c r="D46" s="2" t="s">
        <v>50</v>
      </c>
      <c r="E46" s="2" t="s">
        <v>42</v>
      </c>
      <c r="F46" s="2" t="s">
        <v>48</v>
      </c>
      <c r="G46" s="2" t="s">
        <v>103</v>
      </c>
      <c r="H46">
        <v>1</v>
      </c>
      <c r="I46">
        <v>2</v>
      </c>
      <c r="J46">
        <v>95.12</v>
      </c>
      <c r="K46">
        <v>0.05</v>
      </c>
      <c r="L46">
        <v>39</v>
      </c>
      <c r="M46">
        <v>190.24</v>
      </c>
      <c r="N46">
        <v>180.72800000000001</v>
      </c>
      <c r="O46">
        <v>78</v>
      </c>
      <c r="P46">
        <v>102.72800000000001</v>
      </c>
    </row>
    <row r="47" spans="1:16" x14ac:dyDescent="0.3">
      <c r="A47" s="1">
        <v>45658</v>
      </c>
      <c r="B47" s="2" t="s">
        <v>39</v>
      </c>
      <c r="C47" s="2" t="s">
        <v>92</v>
      </c>
      <c r="D47" s="2" t="s">
        <v>50</v>
      </c>
      <c r="E47" s="2" t="s">
        <v>42</v>
      </c>
      <c r="F47" s="2" t="s">
        <v>48</v>
      </c>
      <c r="G47" s="2" t="s">
        <v>104</v>
      </c>
      <c r="H47">
        <v>1</v>
      </c>
      <c r="I47">
        <v>2</v>
      </c>
      <c r="J47">
        <v>140.63999999999999</v>
      </c>
      <c r="K47">
        <v>0.08</v>
      </c>
      <c r="L47">
        <v>63</v>
      </c>
      <c r="M47">
        <v>281.27999999999997</v>
      </c>
      <c r="N47">
        <v>258.77760000000001</v>
      </c>
      <c r="O47">
        <v>126</v>
      </c>
      <c r="P47">
        <v>132.77760000000001</v>
      </c>
    </row>
    <row r="48" spans="1:16" x14ac:dyDescent="0.3">
      <c r="A48" s="1">
        <v>45658</v>
      </c>
      <c r="B48" s="2" t="s">
        <v>39</v>
      </c>
      <c r="C48" s="2" t="s">
        <v>92</v>
      </c>
      <c r="D48" s="2" t="s">
        <v>50</v>
      </c>
      <c r="E48" s="2" t="s">
        <v>42</v>
      </c>
      <c r="F48" s="2" t="s">
        <v>52</v>
      </c>
      <c r="G48" s="2" t="s">
        <v>104</v>
      </c>
      <c r="H48">
        <v>1</v>
      </c>
      <c r="I48">
        <v>3</v>
      </c>
      <c r="J48">
        <v>218.94</v>
      </c>
      <c r="K48">
        <v>0.1</v>
      </c>
      <c r="L48">
        <v>124</v>
      </c>
      <c r="M48">
        <v>656.81999999999994</v>
      </c>
      <c r="N48">
        <v>591.13799999999992</v>
      </c>
      <c r="O48">
        <v>372</v>
      </c>
      <c r="P48">
        <v>219.13799999999992</v>
      </c>
    </row>
    <row r="49" spans="1:16" x14ac:dyDescent="0.3">
      <c r="A49" s="1">
        <v>45658</v>
      </c>
      <c r="B49" s="2" t="s">
        <v>39</v>
      </c>
      <c r="C49" s="2" t="s">
        <v>88</v>
      </c>
      <c r="D49" s="2" t="s">
        <v>46</v>
      </c>
      <c r="E49" s="2" t="s">
        <v>42</v>
      </c>
      <c r="F49" s="2" t="s">
        <v>48</v>
      </c>
      <c r="G49" s="2" t="s">
        <v>105</v>
      </c>
      <c r="H49">
        <v>1</v>
      </c>
      <c r="I49">
        <v>4</v>
      </c>
      <c r="J49">
        <v>90.79</v>
      </c>
      <c r="K49">
        <v>0.1</v>
      </c>
      <c r="L49">
        <v>39</v>
      </c>
      <c r="M49">
        <v>363.16</v>
      </c>
      <c r="N49">
        <v>326.84400000000005</v>
      </c>
      <c r="O49">
        <v>156</v>
      </c>
      <c r="P49">
        <v>170.84400000000005</v>
      </c>
    </row>
    <row r="50" spans="1:16" x14ac:dyDescent="0.3">
      <c r="A50" s="1">
        <v>45658</v>
      </c>
      <c r="B50" s="2" t="s">
        <v>75</v>
      </c>
      <c r="C50" s="2" t="s">
        <v>106</v>
      </c>
      <c r="D50" s="2" t="s">
        <v>46</v>
      </c>
      <c r="E50" s="2" t="s">
        <v>42</v>
      </c>
      <c r="F50" s="2" t="s">
        <v>48</v>
      </c>
      <c r="G50" s="2" t="s">
        <v>107</v>
      </c>
      <c r="H50">
        <v>1</v>
      </c>
      <c r="I50">
        <v>1</v>
      </c>
      <c r="J50">
        <v>93.53</v>
      </c>
      <c r="K50">
        <v>0.12</v>
      </c>
      <c r="L50">
        <v>39</v>
      </c>
      <c r="M50">
        <v>93.53</v>
      </c>
      <c r="N50">
        <v>82.306399999999996</v>
      </c>
      <c r="O50">
        <v>39</v>
      </c>
      <c r="P50">
        <v>43.306399999999996</v>
      </c>
    </row>
    <row r="51" spans="1:16" x14ac:dyDescent="0.3">
      <c r="A51" s="1">
        <v>45658</v>
      </c>
      <c r="B51" s="2" t="s">
        <v>39</v>
      </c>
      <c r="C51" s="2" t="s">
        <v>54</v>
      </c>
      <c r="D51" s="2" t="s">
        <v>41</v>
      </c>
      <c r="E51" s="2" t="s">
        <v>51</v>
      </c>
      <c r="F51" s="2" t="s">
        <v>43</v>
      </c>
      <c r="G51" s="2" t="s">
        <v>69</v>
      </c>
      <c r="H51">
        <v>1</v>
      </c>
      <c r="I51">
        <v>13</v>
      </c>
      <c r="J51">
        <v>787.35</v>
      </c>
      <c r="K51">
        <v>0.1</v>
      </c>
      <c r="L51">
        <v>520</v>
      </c>
      <c r="M51">
        <v>10235.550000000001</v>
      </c>
      <c r="N51">
        <v>9211.9950000000008</v>
      </c>
      <c r="O51">
        <v>6760</v>
      </c>
      <c r="P51">
        <v>2451.9950000000008</v>
      </c>
    </row>
    <row r="52" spans="1:16" x14ac:dyDescent="0.3">
      <c r="A52" s="1">
        <v>45658</v>
      </c>
      <c r="B52" s="2" t="s">
        <v>39</v>
      </c>
      <c r="C52" s="2" t="s">
        <v>78</v>
      </c>
      <c r="D52" s="2" t="s">
        <v>41</v>
      </c>
      <c r="E52" s="2" t="s">
        <v>42</v>
      </c>
      <c r="F52" s="2" t="s">
        <v>43</v>
      </c>
      <c r="G52" s="2" t="s">
        <v>108</v>
      </c>
      <c r="H52">
        <v>1</v>
      </c>
      <c r="I52">
        <v>3</v>
      </c>
      <c r="J52">
        <v>623.12</v>
      </c>
      <c r="K52">
        <v>0</v>
      </c>
      <c r="L52">
        <v>395</v>
      </c>
      <c r="M52">
        <v>1869.3600000000001</v>
      </c>
      <c r="N52">
        <v>1869.3600000000001</v>
      </c>
      <c r="O52">
        <v>1185</v>
      </c>
      <c r="P52">
        <v>684.36000000000013</v>
      </c>
    </row>
    <row r="53" spans="1:16" x14ac:dyDescent="0.3">
      <c r="A53" s="1">
        <v>45658</v>
      </c>
      <c r="B53" s="2" t="s">
        <v>39</v>
      </c>
      <c r="C53" s="2" t="s">
        <v>92</v>
      </c>
      <c r="D53" s="2" t="s">
        <v>50</v>
      </c>
      <c r="E53" s="2" t="s">
        <v>42</v>
      </c>
      <c r="F53" s="2" t="s">
        <v>48</v>
      </c>
      <c r="G53" s="2" t="s">
        <v>109</v>
      </c>
      <c r="H53">
        <v>2</v>
      </c>
      <c r="I53">
        <v>8</v>
      </c>
      <c r="J53">
        <v>79.149999999999991</v>
      </c>
      <c r="K53">
        <v>0.11</v>
      </c>
      <c r="L53">
        <v>35.5</v>
      </c>
      <c r="M53">
        <v>633.19999999999993</v>
      </c>
      <c r="N53">
        <v>567.96719999999993</v>
      </c>
      <c r="O53">
        <v>284</v>
      </c>
      <c r="P53">
        <v>283.96719999999999</v>
      </c>
    </row>
    <row r="54" spans="1:16" x14ac:dyDescent="0.3">
      <c r="A54" s="1">
        <v>45658</v>
      </c>
      <c r="B54" s="2" t="s">
        <v>39</v>
      </c>
      <c r="C54" s="2" t="s">
        <v>92</v>
      </c>
      <c r="D54" s="2" t="s">
        <v>46</v>
      </c>
      <c r="E54" s="2" t="s">
        <v>42</v>
      </c>
      <c r="F54" s="2" t="s">
        <v>48</v>
      </c>
      <c r="G54" s="2" t="s">
        <v>93</v>
      </c>
      <c r="H54">
        <v>2</v>
      </c>
      <c r="I54">
        <v>6</v>
      </c>
      <c r="J54">
        <v>23.515000000000001</v>
      </c>
      <c r="K54">
        <v>0.11499999999999999</v>
      </c>
      <c r="L54">
        <v>8</v>
      </c>
      <c r="M54">
        <v>140.02000000000001</v>
      </c>
      <c r="N54">
        <v>122.38400000000001</v>
      </c>
      <c r="O54">
        <v>48</v>
      </c>
      <c r="P54">
        <v>74.384000000000015</v>
      </c>
    </row>
    <row r="55" spans="1:16" x14ac:dyDescent="0.3">
      <c r="A55" s="1">
        <v>45658</v>
      </c>
      <c r="B55" s="2" t="s">
        <v>39</v>
      </c>
      <c r="C55" s="2" t="s">
        <v>92</v>
      </c>
      <c r="D55" s="2" t="s">
        <v>50</v>
      </c>
      <c r="E55" s="2" t="s">
        <v>42</v>
      </c>
      <c r="F55" s="2" t="s">
        <v>48</v>
      </c>
      <c r="G55" s="2" t="s">
        <v>110</v>
      </c>
      <c r="H55">
        <v>1</v>
      </c>
      <c r="I55">
        <v>2</v>
      </c>
      <c r="J55">
        <v>72.349999999999994</v>
      </c>
      <c r="K55">
        <v>0.05</v>
      </c>
      <c r="L55">
        <v>31</v>
      </c>
      <c r="M55">
        <v>144.69999999999999</v>
      </c>
      <c r="N55">
        <v>137.46499999999997</v>
      </c>
      <c r="O55">
        <v>62</v>
      </c>
      <c r="P55">
        <v>75.464999999999975</v>
      </c>
    </row>
    <row r="56" spans="1:16" x14ac:dyDescent="0.3">
      <c r="A56" s="1">
        <v>45658</v>
      </c>
      <c r="B56" s="2" t="s">
        <v>39</v>
      </c>
      <c r="C56" s="2" t="s">
        <v>92</v>
      </c>
      <c r="D56" s="2" t="s">
        <v>41</v>
      </c>
      <c r="E56" s="2" t="s">
        <v>47</v>
      </c>
      <c r="F56" s="2" t="s">
        <v>43</v>
      </c>
      <c r="G56" s="2" t="s">
        <v>111</v>
      </c>
      <c r="H56">
        <v>1</v>
      </c>
      <c r="I56">
        <v>1</v>
      </c>
      <c r="J56">
        <v>179.74</v>
      </c>
      <c r="K56">
        <v>0</v>
      </c>
      <c r="L56">
        <v>86</v>
      </c>
      <c r="M56">
        <v>179.74</v>
      </c>
      <c r="N56">
        <v>179.74</v>
      </c>
      <c r="O56">
        <v>86</v>
      </c>
      <c r="P56">
        <v>93.740000000000009</v>
      </c>
    </row>
    <row r="57" spans="1:16" x14ac:dyDescent="0.3">
      <c r="A57" s="1">
        <v>45658</v>
      </c>
      <c r="B57" s="2" t="s">
        <v>39</v>
      </c>
      <c r="C57" s="2" t="s">
        <v>92</v>
      </c>
      <c r="D57" s="2" t="s">
        <v>41</v>
      </c>
      <c r="E57" s="2" t="s">
        <v>47</v>
      </c>
      <c r="F57" s="2" t="s">
        <v>52</v>
      </c>
      <c r="G57" s="2" t="s">
        <v>111</v>
      </c>
      <c r="H57">
        <v>1</v>
      </c>
      <c r="I57">
        <v>3</v>
      </c>
      <c r="J57">
        <v>216.14</v>
      </c>
      <c r="K57">
        <v>0</v>
      </c>
      <c r="L57">
        <v>124</v>
      </c>
      <c r="M57">
        <v>648.41999999999996</v>
      </c>
      <c r="N57">
        <v>648.41999999999996</v>
      </c>
      <c r="O57">
        <v>372</v>
      </c>
      <c r="P57">
        <v>276.41999999999996</v>
      </c>
    </row>
    <row r="58" spans="1:16" x14ac:dyDescent="0.3">
      <c r="A58" s="1">
        <v>45658</v>
      </c>
      <c r="B58" s="2" t="s">
        <v>39</v>
      </c>
      <c r="C58" s="2" t="s">
        <v>78</v>
      </c>
      <c r="D58" s="2" t="s">
        <v>41</v>
      </c>
      <c r="E58" s="2" t="s">
        <v>47</v>
      </c>
      <c r="F58" s="2" t="s">
        <v>48</v>
      </c>
      <c r="G58" s="2" t="s">
        <v>108</v>
      </c>
      <c r="H58">
        <v>1</v>
      </c>
      <c r="I58">
        <v>2</v>
      </c>
      <c r="J58">
        <v>96.12</v>
      </c>
      <c r="K58">
        <v>0.05</v>
      </c>
      <c r="L58">
        <v>39</v>
      </c>
      <c r="M58">
        <v>192.24</v>
      </c>
      <c r="N58">
        <v>182.62799999999999</v>
      </c>
      <c r="O58">
        <v>78</v>
      </c>
      <c r="P58">
        <v>104.62799999999999</v>
      </c>
    </row>
    <row r="59" spans="1:16" x14ac:dyDescent="0.3">
      <c r="A59" s="1">
        <v>45658</v>
      </c>
      <c r="B59" s="2" t="s">
        <v>56</v>
      </c>
      <c r="C59" s="2" t="s">
        <v>57</v>
      </c>
      <c r="D59" s="2" t="s">
        <v>46</v>
      </c>
      <c r="E59" s="2" t="s">
        <v>42</v>
      </c>
      <c r="F59" s="2" t="s">
        <v>43</v>
      </c>
      <c r="G59" s="2" t="s">
        <v>58</v>
      </c>
      <c r="H59">
        <v>1</v>
      </c>
      <c r="I59">
        <v>2</v>
      </c>
      <c r="J59">
        <v>627.5</v>
      </c>
      <c r="K59">
        <v>0.05</v>
      </c>
      <c r="L59">
        <v>395</v>
      </c>
      <c r="M59">
        <v>1255</v>
      </c>
      <c r="N59">
        <v>1192.25</v>
      </c>
      <c r="O59">
        <v>790</v>
      </c>
      <c r="P59">
        <v>402.25</v>
      </c>
    </row>
    <row r="60" spans="1:16" x14ac:dyDescent="0.3">
      <c r="A60" s="1">
        <v>45658</v>
      </c>
      <c r="B60" s="2" t="s">
        <v>56</v>
      </c>
      <c r="C60" s="2" t="s">
        <v>57</v>
      </c>
      <c r="D60" s="2" t="s">
        <v>46</v>
      </c>
      <c r="E60" s="2" t="s">
        <v>42</v>
      </c>
      <c r="F60" s="2" t="s">
        <v>52</v>
      </c>
      <c r="G60" s="2" t="s">
        <v>112</v>
      </c>
      <c r="H60">
        <v>1</v>
      </c>
      <c r="I60">
        <v>2</v>
      </c>
      <c r="J60">
        <v>43.47</v>
      </c>
      <c r="K60">
        <v>0.12</v>
      </c>
      <c r="L60">
        <v>18</v>
      </c>
      <c r="M60">
        <v>86.94</v>
      </c>
      <c r="N60">
        <v>76.507199999999997</v>
      </c>
      <c r="O60">
        <v>36</v>
      </c>
      <c r="P60">
        <v>40.507199999999997</v>
      </c>
    </row>
    <row r="61" spans="1:16" x14ac:dyDescent="0.3">
      <c r="A61" s="1">
        <v>45658</v>
      </c>
      <c r="B61" s="2" t="s">
        <v>39</v>
      </c>
      <c r="C61" s="2" t="s">
        <v>40</v>
      </c>
      <c r="D61" s="2" t="s">
        <v>41</v>
      </c>
      <c r="E61" s="2" t="s">
        <v>51</v>
      </c>
      <c r="F61" s="2" t="s">
        <v>48</v>
      </c>
      <c r="G61" s="2" t="s">
        <v>113</v>
      </c>
      <c r="H61">
        <v>1</v>
      </c>
      <c r="I61">
        <v>19</v>
      </c>
      <c r="J61">
        <v>82.01</v>
      </c>
      <c r="K61">
        <v>0</v>
      </c>
      <c r="L61">
        <v>39</v>
      </c>
      <c r="M61">
        <v>1558.19</v>
      </c>
      <c r="N61">
        <v>1558.19</v>
      </c>
      <c r="O61">
        <v>741</v>
      </c>
      <c r="P61">
        <v>817.19</v>
      </c>
    </row>
    <row r="62" spans="1:16" x14ac:dyDescent="0.3">
      <c r="A62" s="1">
        <v>45658</v>
      </c>
      <c r="B62" s="2" t="s">
        <v>39</v>
      </c>
      <c r="C62" s="2" t="s">
        <v>54</v>
      </c>
      <c r="D62" s="2" t="s">
        <v>50</v>
      </c>
      <c r="E62" s="2" t="s">
        <v>42</v>
      </c>
      <c r="F62" s="2" t="s">
        <v>43</v>
      </c>
      <c r="G62" s="2" t="s">
        <v>94</v>
      </c>
      <c r="H62">
        <v>1</v>
      </c>
      <c r="I62">
        <v>1</v>
      </c>
      <c r="J62">
        <v>105.85</v>
      </c>
      <c r="K62">
        <v>0.05</v>
      </c>
      <c r="L62">
        <v>54</v>
      </c>
      <c r="M62">
        <v>105.85</v>
      </c>
      <c r="N62">
        <v>100.55749999999999</v>
      </c>
      <c r="O62">
        <v>54</v>
      </c>
      <c r="P62">
        <v>46.55749999999999</v>
      </c>
    </row>
    <row r="63" spans="1:16" x14ac:dyDescent="0.3">
      <c r="A63" s="1">
        <v>45658</v>
      </c>
      <c r="B63" s="2" t="s">
        <v>56</v>
      </c>
      <c r="C63" s="2" t="s">
        <v>57</v>
      </c>
      <c r="D63" s="2" t="s">
        <v>46</v>
      </c>
      <c r="E63" s="2" t="s">
        <v>47</v>
      </c>
      <c r="F63" s="2" t="s">
        <v>43</v>
      </c>
      <c r="G63" s="2" t="s">
        <v>112</v>
      </c>
      <c r="H63">
        <v>1</v>
      </c>
      <c r="I63">
        <v>2</v>
      </c>
      <c r="J63">
        <v>300.14</v>
      </c>
      <c r="K63">
        <v>0.15</v>
      </c>
      <c r="L63">
        <v>182</v>
      </c>
      <c r="M63">
        <v>600.28</v>
      </c>
      <c r="N63">
        <v>510.23799999999994</v>
      </c>
      <c r="O63">
        <v>364</v>
      </c>
      <c r="P63">
        <v>146.23799999999994</v>
      </c>
    </row>
    <row r="64" spans="1:16" x14ac:dyDescent="0.3">
      <c r="A64" s="1">
        <v>45658</v>
      </c>
      <c r="B64" s="2" t="s">
        <v>39</v>
      </c>
      <c r="C64" s="2" t="s">
        <v>40</v>
      </c>
      <c r="D64" s="2" t="s">
        <v>50</v>
      </c>
      <c r="E64" s="2" t="s">
        <v>47</v>
      </c>
      <c r="F64" s="2" t="s">
        <v>43</v>
      </c>
      <c r="G64" s="2" t="s">
        <v>114</v>
      </c>
      <c r="H64">
        <v>3</v>
      </c>
      <c r="I64">
        <v>12</v>
      </c>
      <c r="J64">
        <v>638.8366666666667</v>
      </c>
      <c r="K64">
        <v>0.10666666666666667</v>
      </c>
      <c r="L64">
        <v>403</v>
      </c>
      <c r="M64">
        <v>7666.04</v>
      </c>
      <c r="N64">
        <v>6890.5591999999997</v>
      </c>
      <c r="O64">
        <v>4836</v>
      </c>
      <c r="P64">
        <v>2054.5591999999997</v>
      </c>
    </row>
    <row r="65" spans="1:16" x14ac:dyDescent="0.3">
      <c r="A65" s="1">
        <v>45658</v>
      </c>
      <c r="B65" s="2" t="s">
        <v>39</v>
      </c>
      <c r="C65" s="2" t="s">
        <v>40</v>
      </c>
      <c r="D65" s="2" t="s">
        <v>50</v>
      </c>
      <c r="E65" s="2" t="s">
        <v>51</v>
      </c>
      <c r="F65" s="2" t="s">
        <v>48</v>
      </c>
      <c r="G65" s="2" t="s">
        <v>115</v>
      </c>
      <c r="H65">
        <v>1</v>
      </c>
      <c r="I65">
        <v>7</v>
      </c>
      <c r="J65">
        <v>82.41</v>
      </c>
      <c r="K65">
        <v>0</v>
      </c>
      <c r="L65">
        <v>39</v>
      </c>
      <c r="M65">
        <v>576.87</v>
      </c>
      <c r="N65">
        <v>576.87</v>
      </c>
      <c r="O65">
        <v>273</v>
      </c>
      <c r="P65">
        <v>303.87</v>
      </c>
    </row>
    <row r="66" spans="1:16" x14ac:dyDescent="0.3">
      <c r="A66" s="1">
        <v>45658</v>
      </c>
      <c r="B66" s="2" t="s">
        <v>56</v>
      </c>
      <c r="C66" s="2" t="s">
        <v>57</v>
      </c>
      <c r="D66" s="2" t="s">
        <v>46</v>
      </c>
      <c r="E66" s="2" t="s">
        <v>47</v>
      </c>
      <c r="F66" s="2" t="s">
        <v>48</v>
      </c>
      <c r="G66" s="2" t="s">
        <v>116</v>
      </c>
      <c r="H66">
        <v>1</v>
      </c>
      <c r="I66">
        <v>1</v>
      </c>
      <c r="J66">
        <v>138.27000000000001</v>
      </c>
      <c r="K66">
        <v>0.12</v>
      </c>
      <c r="L66">
        <v>63</v>
      </c>
      <c r="M66">
        <v>138.27000000000001</v>
      </c>
      <c r="N66">
        <v>121.67760000000001</v>
      </c>
      <c r="O66">
        <v>63</v>
      </c>
      <c r="P66">
        <v>58.677600000000012</v>
      </c>
    </row>
    <row r="67" spans="1:16" x14ac:dyDescent="0.3">
      <c r="A67" s="1">
        <v>45658</v>
      </c>
      <c r="B67" s="2" t="s">
        <v>39</v>
      </c>
      <c r="C67" s="2" t="s">
        <v>40</v>
      </c>
      <c r="D67" s="2" t="s">
        <v>50</v>
      </c>
      <c r="E67" s="2" t="s">
        <v>47</v>
      </c>
      <c r="F67" s="2" t="s">
        <v>43</v>
      </c>
      <c r="G67" s="2" t="s">
        <v>82</v>
      </c>
      <c r="H67">
        <v>1</v>
      </c>
      <c r="I67">
        <v>4</v>
      </c>
      <c r="J67">
        <v>850.41</v>
      </c>
      <c r="K67">
        <v>0</v>
      </c>
      <c r="L67">
        <v>520</v>
      </c>
      <c r="M67">
        <v>3401.64</v>
      </c>
      <c r="N67">
        <v>3401.64</v>
      </c>
      <c r="O67">
        <v>2080</v>
      </c>
      <c r="P67">
        <v>1321.6399999999999</v>
      </c>
    </row>
    <row r="68" spans="1:16" x14ac:dyDescent="0.3">
      <c r="A68" s="1">
        <v>45658</v>
      </c>
      <c r="B68" s="2" t="s">
        <v>39</v>
      </c>
      <c r="C68" s="2" t="s">
        <v>88</v>
      </c>
      <c r="D68" s="2" t="s">
        <v>41</v>
      </c>
      <c r="E68" s="2" t="s">
        <v>42</v>
      </c>
      <c r="F68" s="2" t="s">
        <v>43</v>
      </c>
      <c r="G68" s="2" t="s">
        <v>117</v>
      </c>
      <c r="H68">
        <v>2</v>
      </c>
      <c r="I68">
        <v>4</v>
      </c>
      <c r="J68">
        <v>456.8</v>
      </c>
      <c r="K68">
        <v>2.5000000000000001E-2</v>
      </c>
      <c r="L68">
        <v>288.5</v>
      </c>
      <c r="M68">
        <v>2169.8199999999997</v>
      </c>
      <c r="N68">
        <v>2075.6035000000002</v>
      </c>
      <c r="O68">
        <v>1367</v>
      </c>
      <c r="P68">
        <v>708.60349999999994</v>
      </c>
    </row>
    <row r="69" spans="1:16" x14ac:dyDescent="0.3">
      <c r="A69" s="1">
        <v>45658</v>
      </c>
      <c r="B69" s="2" t="s">
        <v>39</v>
      </c>
      <c r="C69" s="2" t="s">
        <v>88</v>
      </c>
      <c r="D69" s="2" t="s">
        <v>41</v>
      </c>
      <c r="E69" s="2" t="s">
        <v>42</v>
      </c>
      <c r="F69" s="2" t="s">
        <v>48</v>
      </c>
      <c r="G69" s="2" t="s">
        <v>117</v>
      </c>
      <c r="H69">
        <v>1</v>
      </c>
      <c r="I69">
        <v>1</v>
      </c>
      <c r="J69">
        <v>138.36000000000001</v>
      </c>
      <c r="K69">
        <v>0.05</v>
      </c>
      <c r="L69">
        <v>63</v>
      </c>
      <c r="M69">
        <v>138.36000000000001</v>
      </c>
      <c r="N69">
        <v>131.44200000000001</v>
      </c>
      <c r="O69">
        <v>63</v>
      </c>
      <c r="P69">
        <v>68.442000000000007</v>
      </c>
    </row>
    <row r="70" spans="1:16" x14ac:dyDescent="0.3">
      <c r="A70" s="1">
        <v>45658</v>
      </c>
      <c r="B70" s="2" t="s">
        <v>56</v>
      </c>
      <c r="C70" s="2" t="s">
        <v>72</v>
      </c>
      <c r="D70" s="2" t="s">
        <v>50</v>
      </c>
      <c r="E70" s="2" t="s">
        <v>47</v>
      </c>
      <c r="F70" s="2" t="s">
        <v>52</v>
      </c>
      <c r="G70" s="2" t="s">
        <v>118</v>
      </c>
      <c r="H70">
        <v>1</v>
      </c>
      <c r="I70">
        <v>1</v>
      </c>
      <c r="J70">
        <v>222.88</v>
      </c>
      <c r="K70">
        <v>0</v>
      </c>
      <c r="L70">
        <v>124</v>
      </c>
      <c r="M70">
        <v>222.88</v>
      </c>
      <c r="N70">
        <v>222.88</v>
      </c>
      <c r="O70">
        <v>124</v>
      </c>
      <c r="P70">
        <v>98.88</v>
      </c>
    </row>
    <row r="71" spans="1:16" x14ac:dyDescent="0.3">
      <c r="A71" s="1">
        <v>45658</v>
      </c>
      <c r="B71" s="2" t="s">
        <v>39</v>
      </c>
      <c r="C71" s="2" t="s">
        <v>78</v>
      </c>
      <c r="D71" s="2" t="s">
        <v>41</v>
      </c>
      <c r="E71" s="2" t="s">
        <v>51</v>
      </c>
      <c r="F71" s="2" t="s">
        <v>52</v>
      </c>
      <c r="G71" s="2" t="s">
        <v>119</v>
      </c>
      <c r="H71">
        <v>1</v>
      </c>
      <c r="I71">
        <v>8</v>
      </c>
      <c r="J71">
        <v>40.659999999999997</v>
      </c>
      <c r="K71">
        <v>0</v>
      </c>
      <c r="L71">
        <v>18</v>
      </c>
      <c r="M71">
        <v>325.27999999999997</v>
      </c>
      <c r="N71">
        <v>325.27999999999997</v>
      </c>
      <c r="O71">
        <v>144</v>
      </c>
      <c r="P71">
        <v>181.27999999999997</v>
      </c>
    </row>
    <row r="72" spans="1:16" x14ac:dyDescent="0.3">
      <c r="A72" s="1">
        <v>45658</v>
      </c>
      <c r="B72" s="2" t="s">
        <v>39</v>
      </c>
      <c r="C72" s="2" t="s">
        <v>40</v>
      </c>
      <c r="D72" s="2" t="s">
        <v>46</v>
      </c>
      <c r="E72" s="2" t="s">
        <v>42</v>
      </c>
      <c r="F72" s="2" t="s">
        <v>43</v>
      </c>
      <c r="G72" s="2" t="s">
        <v>120</v>
      </c>
      <c r="H72">
        <v>1</v>
      </c>
      <c r="I72">
        <v>3</v>
      </c>
      <c r="J72">
        <v>638.78</v>
      </c>
      <c r="K72">
        <v>0.1</v>
      </c>
      <c r="L72">
        <v>395</v>
      </c>
      <c r="M72">
        <v>1916.34</v>
      </c>
      <c r="N72">
        <v>1724.7059999999999</v>
      </c>
      <c r="O72">
        <v>1185</v>
      </c>
      <c r="P72">
        <v>539.7059999999999</v>
      </c>
    </row>
    <row r="73" spans="1:16" x14ac:dyDescent="0.3">
      <c r="A73" s="1">
        <v>45658</v>
      </c>
      <c r="B73" s="2" t="s">
        <v>39</v>
      </c>
      <c r="C73" s="2" t="s">
        <v>40</v>
      </c>
      <c r="D73" s="2" t="s">
        <v>46</v>
      </c>
      <c r="E73" s="2" t="s">
        <v>42</v>
      </c>
      <c r="F73" s="2" t="s">
        <v>48</v>
      </c>
      <c r="G73" s="2" t="s">
        <v>120</v>
      </c>
      <c r="H73">
        <v>1</v>
      </c>
      <c r="I73">
        <v>4</v>
      </c>
      <c r="J73">
        <v>140.05000000000001</v>
      </c>
      <c r="K73">
        <v>0.08</v>
      </c>
      <c r="L73">
        <v>63</v>
      </c>
      <c r="M73">
        <v>560.20000000000005</v>
      </c>
      <c r="N73">
        <v>515.38400000000001</v>
      </c>
      <c r="O73">
        <v>252</v>
      </c>
      <c r="P73">
        <v>263.38400000000001</v>
      </c>
    </row>
    <row r="74" spans="1:16" x14ac:dyDescent="0.3">
      <c r="A74" s="1">
        <v>45658</v>
      </c>
      <c r="B74" s="2" t="s">
        <v>56</v>
      </c>
      <c r="C74" s="2" t="s">
        <v>57</v>
      </c>
      <c r="D74" s="2" t="s">
        <v>50</v>
      </c>
      <c r="E74" s="2" t="s">
        <v>42</v>
      </c>
      <c r="F74" s="2" t="s">
        <v>43</v>
      </c>
      <c r="G74" s="2" t="s">
        <v>121</v>
      </c>
      <c r="H74">
        <v>1</v>
      </c>
      <c r="I74">
        <v>1</v>
      </c>
      <c r="J74">
        <v>103.13</v>
      </c>
      <c r="K74">
        <v>0.1</v>
      </c>
      <c r="L74">
        <v>54</v>
      </c>
      <c r="M74">
        <v>103.13</v>
      </c>
      <c r="N74">
        <v>92.816999999999993</v>
      </c>
      <c r="O74">
        <v>54</v>
      </c>
      <c r="P74">
        <v>38.816999999999993</v>
      </c>
    </row>
    <row r="75" spans="1:16" x14ac:dyDescent="0.3">
      <c r="A75" s="1">
        <v>45658</v>
      </c>
      <c r="B75" s="2" t="s">
        <v>39</v>
      </c>
      <c r="C75" s="2" t="s">
        <v>40</v>
      </c>
      <c r="D75" s="2" t="s">
        <v>50</v>
      </c>
      <c r="E75" s="2" t="s">
        <v>47</v>
      </c>
      <c r="F75" s="2" t="s">
        <v>43</v>
      </c>
      <c r="G75" s="2" t="s">
        <v>122</v>
      </c>
      <c r="H75">
        <v>1</v>
      </c>
      <c r="I75">
        <v>4</v>
      </c>
      <c r="J75">
        <v>1204.72</v>
      </c>
      <c r="K75">
        <v>0.1</v>
      </c>
      <c r="L75">
        <v>760</v>
      </c>
      <c r="M75">
        <v>4818.88</v>
      </c>
      <c r="N75">
        <v>4336.9920000000002</v>
      </c>
      <c r="O75">
        <v>3040</v>
      </c>
      <c r="P75">
        <v>1296.9920000000002</v>
      </c>
    </row>
    <row r="76" spans="1:16" x14ac:dyDescent="0.3">
      <c r="A76" s="1">
        <v>45658</v>
      </c>
      <c r="B76" s="2" t="s">
        <v>56</v>
      </c>
      <c r="C76" s="2" t="s">
        <v>57</v>
      </c>
      <c r="D76" s="2" t="s">
        <v>50</v>
      </c>
      <c r="E76" s="2" t="s">
        <v>47</v>
      </c>
      <c r="F76" s="2" t="s">
        <v>52</v>
      </c>
      <c r="G76" s="2" t="s">
        <v>100</v>
      </c>
      <c r="H76">
        <v>2</v>
      </c>
      <c r="I76">
        <v>6</v>
      </c>
      <c r="J76">
        <v>43.46</v>
      </c>
      <c r="K76">
        <v>0.05</v>
      </c>
      <c r="L76">
        <v>18</v>
      </c>
      <c r="M76">
        <v>261.32</v>
      </c>
      <c r="N76">
        <v>252.68400000000003</v>
      </c>
      <c r="O76">
        <v>108</v>
      </c>
      <c r="P76">
        <v>144.68400000000003</v>
      </c>
    </row>
    <row r="77" spans="1:16" x14ac:dyDescent="0.3">
      <c r="A77" s="1">
        <v>45658</v>
      </c>
      <c r="B77" s="2" t="s">
        <v>56</v>
      </c>
      <c r="C77" s="2" t="s">
        <v>57</v>
      </c>
      <c r="D77" s="2" t="s">
        <v>46</v>
      </c>
      <c r="E77" s="2" t="s">
        <v>51</v>
      </c>
      <c r="F77" s="2" t="s">
        <v>43</v>
      </c>
      <c r="G77" s="2" t="s">
        <v>58</v>
      </c>
      <c r="H77">
        <v>2</v>
      </c>
      <c r="I77">
        <v>17</v>
      </c>
      <c r="J77">
        <v>412.375</v>
      </c>
      <c r="K77">
        <v>6.5000000000000002E-2</v>
      </c>
      <c r="L77">
        <v>288.5</v>
      </c>
      <c r="M77">
        <v>7781.0499999999993</v>
      </c>
      <c r="N77">
        <v>7205.0491999999995</v>
      </c>
      <c r="O77">
        <v>5437</v>
      </c>
      <c r="P77">
        <v>1768.0491999999997</v>
      </c>
    </row>
    <row r="78" spans="1:16" x14ac:dyDescent="0.3">
      <c r="A78" s="1">
        <v>45658</v>
      </c>
      <c r="B78" s="2" t="s">
        <v>39</v>
      </c>
      <c r="C78" s="2" t="s">
        <v>78</v>
      </c>
      <c r="D78" s="2" t="s">
        <v>41</v>
      </c>
      <c r="E78" s="2" t="s">
        <v>42</v>
      </c>
      <c r="F78" s="2" t="s">
        <v>48</v>
      </c>
      <c r="G78" s="2" t="s">
        <v>123</v>
      </c>
      <c r="H78">
        <v>1</v>
      </c>
      <c r="I78">
        <v>1</v>
      </c>
      <c r="J78">
        <v>138.80000000000001</v>
      </c>
      <c r="K78">
        <v>0</v>
      </c>
      <c r="L78">
        <v>63</v>
      </c>
      <c r="M78">
        <v>138.80000000000001</v>
      </c>
      <c r="N78">
        <v>138.80000000000001</v>
      </c>
      <c r="O78">
        <v>63</v>
      </c>
      <c r="P78">
        <v>75.800000000000011</v>
      </c>
    </row>
    <row r="79" spans="1:16" x14ac:dyDescent="0.3">
      <c r="A79" s="1">
        <v>45658</v>
      </c>
      <c r="B79" s="2" t="s">
        <v>39</v>
      </c>
      <c r="C79" s="2" t="s">
        <v>40</v>
      </c>
      <c r="D79" s="2" t="s">
        <v>50</v>
      </c>
      <c r="E79" s="2" t="s">
        <v>42</v>
      </c>
      <c r="F79" s="2" t="s">
        <v>43</v>
      </c>
      <c r="G79" s="2" t="s">
        <v>124</v>
      </c>
      <c r="H79">
        <v>2</v>
      </c>
      <c r="I79">
        <v>4</v>
      </c>
      <c r="J79">
        <v>232.02999999999997</v>
      </c>
      <c r="K79">
        <v>0.05</v>
      </c>
      <c r="L79">
        <v>134</v>
      </c>
      <c r="M79">
        <v>928.11999999999989</v>
      </c>
      <c r="N79">
        <v>881.71399999999994</v>
      </c>
      <c r="O79">
        <v>536</v>
      </c>
      <c r="P79">
        <v>345.71399999999994</v>
      </c>
    </row>
    <row r="80" spans="1:16" x14ac:dyDescent="0.3">
      <c r="A80" s="1">
        <v>45658</v>
      </c>
      <c r="B80" s="2" t="s">
        <v>70</v>
      </c>
      <c r="C80" s="2" t="s">
        <v>45</v>
      </c>
      <c r="D80" s="2" t="s">
        <v>50</v>
      </c>
      <c r="E80" s="2" t="s">
        <v>42</v>
      </c>
      <c r="F80" s="2" t="s">
        <v>43</v>
      </c>
      <c r="G80" s="2" t="s">
        <v>71</v>
      </c>
      <c r="H80">
        <v>2</v>
      </c>
      <c r="I80">
        <v>2</v>
      </c>
      <c r="J80">
        <v>692.37</v>
      </c>
      <c r="K80">
        <v>0.04</v>
      </c>
      <c r="L80">
        <v>423</v>
      </c>
      <c r="M80">
        <v>1384.74</v>
      </c>
      <c r="N80">
        <v>1370.9823999999999</v>
      </c>
      <c r="O80">
        <v>846</v>
      </c>
      <c r="P80">
        <v>524.98239999999998</v>
      </c>
    </row>
    <row r="81" spans="1:16" x14ac:dyDescent="0.3">
      <c r="A81" s="1">
        <v>45658</v>
      </c>
      <c r="B81" s="2" t="s">
        <v>39</v>
      </c>
      <c r="C81" s="2" t="s">
        <v>88</v>
      </c>
      <c r="D81" s="2" t="s">
        <v>50</v>
      </c>
      <c r="E81" s="2" t="s">
        <v>42</v>
      </c>
      <c r="F81" s="2" t="s">
        <v>43</v>
      </c>
      <c r="G81" s="2" t="s">
        <v>125</v>
      </c>
      <c r="H81">
        <v>2</v>
      </c>
      <c r="I81">
        <v>3</v>
      </c>
      <c r="J81">
        <v>142.98000000000002</v>
      </c>
      <c r="K81">
        <v>2.5000000000000001E-2</v>
      </c>
      <c r="L81">
        <v>70</v>
      </c>
      <c r="M81">
        <v>391.77</v>
      </c>
      <c r="N81">
        <v>382.76249999999999</v>
      </c>
      <c r="O81">
        <v>194</v>
      </c>
      <c r="P81">
        <v>188.76249999999999</v>
      </c>
    </row>
    <row r="82" spans="1:16" x14ac:dyDescent="0.3">
      <c r="A82" s="1">
        <v>45658</v>
      </c>
      <c r="B82" s="2" t="s">
        <v>56</v>
      </c>
      <c r="C82" s="2" t="s">
        <v>72</v>
      </c>
      <c r="D82" s="2" t="s">
        <v>95</v>
      </c>
      <c r="E82" s="2" t="s">
        <v>51</v>
      </c>
      <c r="F82" s="2" t="s">
        <v>52</v>
      </c>
      <c r="G82" s="2" t="s">
        <v>96</v>
      </c>
      <c r="H82">
        <v>2</v>
      </c>
      <c r="I82">
        <v>12</v>
      </c>
      <c r="J82">
        <v>114.04</v>
      </c>
      <c r="K82">
        <v>0.1</v>
      </c>
      <c r="L82">
        <v>71</v>
      </c>
      <c r="M82">
        <v>927.60000000000014</v>
      </c>
      <c r="N82">
        <v>838.79040000000009</v>
      </c>
      <c r="O82">
        <v>534</v>
      </c>
      <c r="P82">
        <v>304.79040000000015</v>
      </c>
    </row>
    <row r="83" spans="1:16" x14ac:dyDescent="0.3">
      <c r="A83" s="1">
        <v>45658</v>
      </c>
      <c r="B83" s="2" t="s">
        <v>39</v>
      </c>
      <c r="C83" s="2" t="s">
        <v>92</v>
      </c>
      <c r="D83" s="2" t="s">
        <v>50</v>
      </c>
      <c r="E83" s="2" t="s">
        <v>47</v>
      </c>
      <c r="F83" s="2" t="s">
        <v>43</v>
      </c>
      <c r="G83" s="2" t="s">
        <v>104</v>
      </c>
      <c r="H83">
        <v>1</v>
      </c>
      <c r="I83">
        <v>3</v>
      </c>
      <c r="J83">
        <v>297.05</v>
      </c>
      <c r="K83">
        <v>0.05</v>
      </c>
      <c r="L83">
        <v>182</v>
      </c>
      <c r="M83">
        <v>891.15000000000009</v>
      </c>
      <c r="N83">
        <v>846.59250000000009</v>
      </c>
      <c r="O83">
        <v>546</v>
      </c>
      <c r="P83">
        <v>300.59250000000009</v>
      </c>
    </row>
    <row r="84" spans="1:16" x14ac:dyDescent="0.3">
      <c r="A84" s="1">
        <v>45658</v>
      </c>
      <c r="B84" s="2" t="s">
        <v>83</v>
      </c>
      <c r="C84" s="2" t="s">
        <v>126</v>
      </c>
      <c r="D84" s="2" t="s">
        <v>46</v>
      </c>
      <c r="E84" s="2" t="s">
        <v>47</v>
      </c>
      <c r="F84" s="2" t="s">
        <v>43</v>
      </c>
      <c r="G84" s="2" t="s">
        <v>127</v>
      </c>
      <c r="H84">
        <v>1</v>
      </c>
      <c r="I84">
        <v>3</v>
      </c>
      <c r="J84">
        <v>184.84</v>
      </c>
      <c r="K84">
        <v>0.08</v>
      </c>
      <c r="L84">
        <v>86</v>
      </c>
      <c r="M84">
        <v>554.52</v>
      </c>
      <c r="N84">
        <v>510.15840000000003</v>
      </c>
      <c r="O84">
        <v>258</v>
      </c>
      <c r="P84">
        <v>252.15840000000003</v>
      </c>
    </row>
    <row r="85" spans="1:16" x14ac:dyDescent="0.3">
      <c r="A85" s="1">
        <v>45658</v>
      </c>
      <c r="B85" s="2" t="s">
        <v>83</v>
      </c>
      <c r="C85" s="2" t="s">
        <v>84</v>
      </c>
      <c r="D85" s="2" t="s">
        <v>46</v>
      </c>
      <c r="E85" s="2" t="s">
        <v>51</v>
      </c>
      <c r="F85" s="2" t="s">
        <v>48</v>
      </c>
      <c r="G85" s="2" t="s">
        <v>128</v>
      </c>
      <c r="H85">
        <v>1</v>
      </c>
      <c r="I85">
        <v>15</v>
      </c>
      <c r="J85">
        <v>67.83</v>
      </c>
      <c r="K85">
        <v>0.1</v>
      </c>
      <c r="L85">
        <v>31</v>
      </c>
      <c r="M85">
        <v>1017.4499999999999</v>
      </c>
      <c r="N85">
        <v>915.70499999999993</v>
      </c>
      <c r="O85">
        <v>465</v>
      </c>
      <c r="P85">
        <v>450.70499999999993</v>
      </c>
    </row>
    <row r="86" spans="1:16" x14ac:dyDescent="0.3">
      <c r="A86" s="1">
        <v>45658</v>
      </c>
      <c r="B86" s="2" t="s">
        <v>83</v>
      </c>
      <c r="C86" s="2" t="s">
        <v>84</v>
      </c>
      <c r="D86" s="2" t="s">
        <v>46</v>
      </c>
      <c r="E86" s="2" t="s">
        <v>51</v>
      </c>
      <c r="F86" s="2" t="s">
        <v>43</v>
      </c>
      <c r="G86" s="2" t="s">
        <v>128</v>
      </c>
      <c r="H86">
        <v>1</v>
      </c>
      <c r="I86">
        <v>13</v>
      </c>
      <c r="J86">
        <v>544.77</v>
      </c>
      <c r="K86">
        <v>0.1</v>
      </c>
      <c r="L86">
        <v>395</v>
      </c>
      <c r="M86">
        <v>7082.01</v>
      </c>
      <c r="N86">
        <v>6373.8090000000002</v>
      </c>
      <c r="O86">
        <v>5135</v>
      </c>
      <c r="P86">
        <v>1238.8090000000002</v>
      </c>
    </row>
    <row r="87" spans="1:16" x14ac:dyDescent="0.3">
      <c r="A87" s="1">
        <v>45658</v>
      </c>
      <c r="B87" s="2" t="s">
        <v>83</v>
      </c>
      <c r="C87" s="2" t="s">
        <v>84</v>
      </c>
      <c r="D87" s="2" t="s">
        <v>46</v>
      </c>
      <c r="E87" s="2" t="s">
        <v>51</v>
      </c>
      <c r="F87" s="2" t="s">
        <v>52</v>
      </c>
      <c r="G87" s="2" t="s">
        <v>128</v>
      </c>
      <c r="H87">
        <v>1</v>
      </c>
      <c r="I87">
        <v>8</v>
      </c>
      <c r="J87">
        <v>38.64</v>
      </c>
      <c r="K87">
        <v>0.12</v>
      </c>
      <c r="L87">
        <v>18</v>
      </c>
      <c r="M87">
        <v>309.12</v>
      </c>
      <c r="N87">
        <v>272.0256</v>
      </c>
      <c r="O87">
        <v>144</v>
      </c>
      <c r="P87">
        <v>128.0256</v>
      </c>
    </row>
    <row r="88" spans="1:16" x14ac:dyDescent="0.3">
      <c r="A88" s="1">
        <v>45658</v>
      </c>
      <c r="B88" s="2" t="s">
        <v>39</v>
      </c>
      <c r="C88" s="2" t="s">
        <v>92</v>
      </c>
      <c r="D88" s="2" t="s">
        <v>50</v>
      </c>
      <c r="E88" s="2" t="s">
        <v>42</v>
      </c>
      <c r="F88" s="2" t="s">
        <v>52</v>
      </c>
      <c r="G88" s="2" t="s">
        <v>109</v>
      </c>
      <c r="H88">
        <v>1</v>
      </c>
      <c r="I88">
        <v>1</v>
      </c>
      <c r="J88">
        <v>219.15</v>
      </c>
      <c r="K88">
        <v>0</v>
      </c>
      <c r="L88">
        <v>124</v>
      </c>
      <c r="M88">
        <v>219.15</v>
      </c>
      <c r="N88">
        <v>219.15</v>
      </c>
      <c r="O88">
        <v>124</v>
      </c>
      <c r="P88">
        <v>95.15</v>
      </c>
    </row>
    <row r="89" spans="1:16" x14ac:dyDescent="0.3">
      <c r="A89" s="1">
        <v>45658</v>
      </c>
      <c r="B89" s="2" t="s">
        <v>39</v>
      </c>
      <c r="C89" s="2" t="s">
        <v>78</v>
      </c>
      <c r="D89" s="2" t="s">
        <v>41</v>
      </c>
      <c r="E89" s="2" t="s">
        <v>47</v>
      </c>
      <c r="F89" s="2" t="s">
        <v>43</v>
      </c>
      <c r="G89" s="2" t="s">
        <v>108</v>
      </c>
      <c r="H89">
        <v>2</v>
      </c>
      <c r="I89">
        <v>5</v>
      </c>
      <c r="J89">
        <v>413.13499999999999</v>
      </c>
      <c r="K89">
        <v>2.5000000000000001E-2</v>
      </c>
      <c r="L89">
        <v>240.5</v>
      </c>
      <c r="M89">
        <v>2750.5</v>
      </c>
      <c r="N89">
        <v>2741.2570000000001</v>
      </c>
      <c r="O89">
        <v>1666</v>
      </c>
      <c r="P89">
        <v>1075.2569999999998</v>
      </c>
    </row>
    <row r="90" spans="1:16" x14ac:dyDescent="0.3">
      <c r="A90" s="1">
        <v>45658</v>
      </c>
      <c r="B90" s="2" t="s">
        <v>39</v>
      </c>
      <c r="C90" s="2" t="s">
        <v>45</v>
      </c>
      <c r="D90" s="2" t="s">
        <v>41</v>
      </c>
      <c r="E90" s="2" t="s">
        <v>51</v>
      </c>
      <c r="F90" s="2" t="s">
        <v>52</v>
      </c>
      <c r="G90" s="2" t="s">
        <v>129</v>
      </c>
      <c r="H90">
        <v>1</v>
      </c>
      <c r="I90">
        <v>13</v>
      </c>
      <c r="J90">
        <v>188.49</v>
      </c>
      <c r="K90">
        <v>0.1</v>
      </c>
      <c r="L90">
        <v>124</v>
      </c>
      <c r="M90">
        <v>2450.37</v>
      </c>
      <c r="N90">
        <v>2205.3330000000001</v>
      </c>
      <c r="O90">
        <v>1612</v>
      </c>
      <c r="P90">
        <v>593.33300000000008</v>
      </c>
    </row>
    <row r="91" spans="1:16" x14ac:dyDescent="0.3">
      <c r="A91" s="1">
        <v>45658</v>
      </c>
      <c r="B91" s="2" t="s">
        <v>39</v>
      </c>
      <c r="C91" s="2" t="s">
        <v>45</v>
      </c>
      <c r="D91" s="2" t="s">
        <v>41</v>
      </c>
      <c r="E91" s="2" t="s">
        <v>51</v>
      </c>
      <c r="F91" s="2" t="s">
        <v>43</v>
      </c>
      <c r="G91" s="2" t="s">
        <v>129</v>
      </c>
      <c r="H91">
        <v>1</v>
      </c>
      <c r="I91">
        <v>13</v>
      </c>
      <c r="J91">
        <v>1086.0999999999999</v>
      </c>
      <c r="K91">
        <v>0</v>
      </c>
      <c r="L91">
        <v>760</v>
      </c>
      <c r="M91">
        <v>14119.3</v>
      </c>
      <c r="N91">
        <v>14119.3</v>
      </c>
      <c r="O91">
        <v>9880</v>
      </c>
      <c r="P91">
        <v>4239.2999999999993</v>
      </c>
    </row>
    <row r="92" spans="1:16" x14ac:dyDescent="0.3">
      <c r="A92" s="1">
        <v>45658</v>
      </c>
      <c r="B92" s="2" t="s">
        <v>39</v>
      </c>
      <c r="C92" s="2" t="s">
        <v>40</v>
      </c>
      <c r="D92" s="2" t="s">
        <v>50</v>
      </c>
      <c r="E92" s="2" t="s">
        <v>51</v>
      </c>
      <c r="F92" s="2" t="s">
        <v>52</v>
      </c>
      <c r="G92" s="2" t="s">
        <v>122</v>
      </c>
      <c r="H92">
        <v>2</v>
      </c>
      <c r="I92">
        <v>22</v>
      </c>
      <c r="J92">
        <v>111.85</v>
      </c>
      <c r="K92">
        <v>6.5000000000000002E-2</v>
      </c>
      <c r="L92">
        <v>71</v>
      </c>
      <c r="M92">
        <v>2313.48</v>
      </c>
      <c r="N92">
        <v>2142.1680000000001</v>
      </c>
      <c r="O92">
        <v>1456</v>
      </c>
      <c r="P92">
        <v>686.16800000000012</v>
      </c>
    </row>
    <row r="93" spans="1:16" x14ac:dyDescent="0.3">
      <c r="A93" s="1">
        <v>45658</v>
      </c>
      <c r="B93" s="2" t="s">
        <v>39</v>
      </c>
      <c r="C93" s="2" t="s">
        <v>92</v>
      </c>
      <c r="D93" s="2" t="s">
        <v>50</v>
      </c>
      <c r="E93" s="2" t="s">
        <v>42</v>
      </c>
      <c r="F93" s="2" t="s">
        <v>48</v>
      </c>
      <c r="G93" s="2" t="s">
        <v>130</v>
      </c>
      <c r="H93">
        <v>2</v>
      </c>
      <c r="I93">
        <v>2</v>
      </c>
      <c r="J93">
        <v>58.76</v>
      </c>
      <c r="K93">
        <v>0.06</v>
      </c>
      <c r="L93">
        <v>23.5</v>
      </c>
      <c r="M93">
        <v>117.52</v>
      </c>
      <c r="N93">
        <v>106.24119999999999</v>
      </c>
      <c r="O93">
        <v>47</v>
      </c>
      <c r="P93">
        <v>59.241199999999992</v>
      </c>
    </row>
    <row r="94" spans="1:16" x14ac:dyDescent="0.3">
      <c r="A94" s="1">
        <v>45658</v>
      </c>
      <c r="B94" s="2" t="s">
        <v>39</v>
      </c>
      <c r="C94" s="2" t="s">
        <v>40</v>
      </c>
      <c r="D94" s="2" t="s">
        <v>46</v>
      </c>
      <c r="E94" s="2" t="s">
        <v>42</v>
      </c>
      <c r="F94" s="2" t="s">
        <v>43</v>
      </c>
      <c r="G94" s="2" t="s">
        <v>82</v>
      </c>
      <c r="H94">
        <v>1</v>
      </c>
      <c r="I94">
        <v>1</v>
      </c>
      <c r="J94">
        <v>299.70999999999998</v>
      </c>
      <c r="K94">
        <v>0.05</v>
      </c>
      <c r="L94">
        <v>182</v>
      </c>
      <c r="M94">
        <v>299.70999999999998</v>
      </c>
      <c r="N94">
        <v>284.72449999999998</v>
      </c>
      <c r="O94">
        <v>182</v>
      </c>
      <c r="P94">
        <v>102.72449999999998</v>
      </c>
    </row>
    <row r="95" spans="1:16" x14ac:dyDescent="0.3">
      <c r="A95" s="1">
        <v>45658</v>
      </c>
      <c r="B95" s="2" t="s">
        <v>39</v>
      </c>
      <c r="C95" s="2" t="s">
        <v>40</v>
      </c>
      <c r="D95" s="2" t="s">
        <v>50</v>
      </c>
      <c r="E95" s="2" t="s">
        <v>47</v>
      </c>
      <c r="F95" s="2" t="s">
        <v>48</v>
      </c>
      <c r="G95" s="2" t="s">
        <v>114</v>
      </c>
      <c r="H95">
        <v>1</v>
      </c>
      <c r="I95">
        <v>6</v>
      </c>
      <c r="J95">
        <v>76.680000000000007</v>
      </c>
      <c r="K95">
        <v>0.1</v>
      </c>
      <c r="L95">
        <v>31</v>
      </c>
      <c r="M95">
        <v>460.08000000000004</v>
      </c>
      <c r="N95">
        <v>414.07200000000006</v>
      </c>
      <c r="O95">
        <v>186</v>
      </c>
      <c r="P95">
        <v>228.07200000000006</v>
      </c>
    </row>
    <row r="96" spans="1:16" x14ac:dyDescent="0.3">
      <c r="A96" s="1">
        <v>45658</v>
      </c>
      <c r="B96" s="2" t="s">
        <v>39</v>
      </c>
      <c r="C96" s="2" t="s">
        <v>40</v>
      </c>
      <c r="D96" s="2" t="s">
        <v>41</v>
      </c>
      <c r="E96" s="2" t="s">
        <v>42</v>
      </c>
      <c r="F96" s="2" t="s">
        <v>43</v>
      </c>
      <c r="G96" s="2" t="s">
        <v>113</v>
      </c>
      <c r="H96">
        <v>1</v>
      </c>
      <c r="I96">
        <v>1</v>
      </c>
      <c r="J96">
        <v>1155.1199999999999</v>
      </c>
      <c r="K96">
        <v>0</v>
      </c>
      <c r="L96">
        <v>760</v>
      </c>
      <c r="M96">
        <v>1155.1199999999999</v>
      </c>
      <c r="N96">
        <v>1155.1199999999999</v>
      </c>
      <c r="O96">
        <v>760</v>
      </c>
      <c r="P96">
        <v>395.11999999999989</v>
      </c>
    </row>
    <row r="97" spans="1:16" x14ac:dyDescent="0.3">
      <c r="A97" s="1">
        <v>45992</v>
      </c>
      <c r="B97" s="2" t="s">
        <v>39</v>
      </c>
      <c r="C97" s="2" t="s">
        <v>45</v>
      </c>
      <c r="D97" s="2" t="s">
        <v>50</v>
      </c>
      <c r="E97" s="2" t="s">
        <v>42</v>
      </c>
      <c r="F97" s="2" t="s">
        <v>43</v>
      </c>
      <c r="G97" s="2" t="s">
        <v>59</v>
      </c>
      <c r="H97">
        <v>3</v>
      </c>
      <c r="I97">
        <v>5</v>
      </c>
      <c r="J97">
        <v>874.87666666666655</v>
      </c>
      <c r="K97">
        <v>6.0000000000000005E-2</v>
      </c>
      <c r="L97">
        <v>558.33333333333337</v>
      </c>
      <c r="M97">
        <v>4387.0599999999995</v>
      </c>
      <c r="N97">
        <v>4097.4398000000001</v>
      </c>
      <c r="O97">
        <v>2830</v>
      </c>
      <c r="P97">
        <v>1267.4397999999997</v>
      </c>
    </row>
    <row r="98" spans="1:16" x14ac:dyDescent="0.3">
      <c r="A98" s="1">
        <v>45658</v>
      </c>
      <c r="B98" s="2" t="s">
        <v>39</v>
      </c>
      <c r="C98" s="2" t="s">
        <v>54</v>
      </c>
      <c r="D98" s="2" t="s">
        <v>41</v>
      </c>
      <c r="E98" s="2" t="s">
        <v>47</v>
      </c>
      <c r="F98" s="2" t="s">
        <v>43</v>
      </c>
      <c r="G98" s="2" t="s">
        <v>131</v>
      </c>
      <c r="H98">
        <v>2</v>
      </c>
      <c r="I98">
        <v>6</v>
      </c>
      <c r="J98">
        <v>180.63499999999999</v>
      </c>
      <c r="K98">
        <v>0.05</v>
      </c>
      <c r="L98">
        <v>86</v>
      </c>
      <c r="M98">
        <v>1091.42</v>
      </c>
      <c r="N98">
        <v>1036.8489999999999</v>
      </c>
      <c r="O98">
        <v>516</v>
      </c>
      <c r="P98">
        <v>520.84899999999993</v>
      </c>
    </row>
    <row r="99" spans="1:16" x14ac:dyDescent="0.3">
      <c r="A99" s="1">
        <v>45658</v>
      </c>
      <c r="B99" s="2" t="s">
        <v>39</v>
      </c>
      <c r="C99" s="2" t="s">
        <v>45</v>
      </c>
      <c r="D99" s="2" t="s">
        <v>41</v>
      </c>
      <c r="E99" s="2" t="s">
        <v>42</v>
      </c>
      <c r="F99" s="2" t="s">
        <v>52</v>
      </c>
      <c r="G99" s="2" t="s">
        <v>132</v>
      </c>
      <c r="H99">
        <v>1</v>
      </c>
      <c r="I99">
        <v>1</v>
      </c>
      <c r="J99">
        <v>43.61</v>
      </c>
      <c r="K99">
        <v>0</v>
      </c>
      <c r="L99">
        <v>18</v>
      </c>
      <c r="M99">
        <v>43.61</v>
      </c>
      <c r="N99">
        <v>43.61</v>
      </c>
      <c r="O99">
        <v>18</v>
      </c>
      <c r="P99">
        <v>25.61</v>
      </c>
    </row>
    <row r="100" spans="1:16" x14ac:dyDescent="0.3">
      <c r="A100" s="1">
        <v>45658</v>
      </c>
      <c r="B100" s="2" t="s">
        <v>39</v>
      </c>
      <c r="C100" s="2" t="s">
        <v>45</v>
      </c>
      <c r="D100" s="2" t="s">
        <v>41</v>
      </c>
      <c r="E100" s="2" t="s">
        <v>42</v>
      </c>
      <c r="F100" s="2" t="s">
        <v>43</v>
      </c>
      <c r="G100" s="2" t="s">
        <v>132</v>
      </c>
      <c r="H100">
        <v>1</v>
      </c>
      <c r="I100">
        <v>1</v>
      </c>
      <c r="J100">
        <v>1212.27</v>
      </c>
      <c r="K100">
        <v>0</v>
      </c>
      <c r="L100">
        <v>760</v>
      </c>
      <c r="M100">
        <v>1212.27</v>
      </c>
      <c r="N100">
        <v>1212.27</v>
      </c>
      <c r="O100">
        <v>760</v>
      </c>
      <c r="P100">
        <v>452.27</v>
      </c>
    </row>
    <row r="101" spans="1:16" x14ac:dyDescent="0.3">
      <c r="A101" s="1">
        <v>45658</v>
      </c>
      <c r="B101" s="2" t="s">
        <v>56</v>
      </c>
      <c r="C101" s="2" t="s">
        <v>57</v>
      </c>
      <c r="D101" s="2" t="s">
        <v>50</v>
      </c>
      <c r="E101" s="2" t="s">
        <v>42</v>
      </c>
      <c r="F101" s="2" t="s">
        <v>48</v>
      </c>
      <c r="G101" s="2" t="s">
        <v>100</v>
      </c>
      <c r="H101">
        <v>1</v>
      </c>
      <c r="I101">
        <v>1</v>
      </c>
      <c r="J101">
        <v>94.25</v>
      </c>
      <c r="K101">
        <v>0.05</v>
      </c>
      <c r="L101">
        <v>39</v>
      </c>
      <c r="M101">
        <v>94.25</v>
      </c>
      <c r="N101">
        <v>89.537499999999994</v>
      </c>
      <c r="O101">
        <v>39</v>
      </c>
      <c r="P101">
        <v>50.537499999999994</v>
      </c>
    </row>
    <row r="102" spans="1:16" x14ac:dyDescent="0.3">
      <c r="A102" s="1">
        <v>45658</v>
      </c>
      <c r="B102" s="2" t="s">
        <v>39</v>
      </c>
      <c r="C102" s="2" t="s">
        <v>88</v>
      </c>
      <c r="D102" s="2" t="s">
        <v>50</v>
      </c>
      <c r="E102" s="2" t="s">
        <v>47</v>
      </c>
      <c r="F102" s="2" t="s">
        <v>43</v>
      </c>
      <c r="G102" s="2" t="s">
        <v>133</v>
      </c>
      <c r="H102">
        <v>3</v>
      </c>
      <c r="I102">
        <v>8</v>
      </c>
      <c r="J102">
        <v>373.48333333333335</v>
      </c>
      <c r="K102">
        <v>0.10666666666666667</v>
      </c>
      <c r="L102">
        <v>221</v>
      </c>
      <c r="M102">
        <v>3619.37</v>
      </c>
      <c r="N102">
        <v>3207.2313999999997</v>
      </c>
      <c r="O102">
        <v>2212</v>
      </c>
      <c r="P102">
        <v>995.23139999999978</v>
      </c>
    </row>
    <row r="103" spans="1:16" x14ac:dyDescent="0.3">
      <c r="A103" s="1">
        <v>45658</v>
      </c>
      <c r="B103" s="2" t="s">
        <v>56</v>
      </c>
      <c r="C103" s="2" t="s">
        <v>57</v>
      </c>
      <c r="D103" s="2" t="s">
        <v>50</v>
      </c>
      <c r="E103" s="2" t="s">
        <v>42</v>
      </c>
      <c r="F103" s="2" t="s">
        <v>48</v>
      </c>
      <c r="G103" s="2" t="s">
        <v>60</v>
      </c>
      <c r="H103">
        <v>1</v>
      </c>
      <c r="I103">
        <v>2</v>
      </c>
      <c r="J103">
        <v>73.099999999999994</v>
      </c>
      <c r="K103">
        <v>0.08</v>
      </c>
      <c r="L103">
        <v>31</v>
      </c>
      <c r="M103">
        <v>146.19999999999999</v>
      </c>
      <c r="N103">
        <v>134.50399999999999</v>
      </c>
      <c r="O103">
        <v>62</v>
      </c>
      <c r="P103">
        <v>72.503999999999991</v>
      </c>
    </row>
    <row r="104" spans="1:16" x14ac:dyDescent="0.3">
      <c r="A104" s="1">
        <v>45658</v>
      </c>
      <c r="B104" s="2" t="s">
        <v>65</v>
      </c>
      <c r="C104" s="2" t="s">
        <v>134</v>
      </c>
      <c r="D104" s="2" t="s">
        <v>41</v>
      </c>
      <c r="E104" s="2" t="s">
        <v>47</v>
      </c>
      <c r="F104" s="2" t="s">
        <v>48</v>
      </c>
      <c r="G104" s="2" t="s">
        <v>135</v>
      </c>
      <c r="H104">
        <v>1</v>
      </c>
      <c r="I104">
        <v>6</v>
      </c>
      <c r="J104">
        <v>96.42</v>
      </c>
      <c r="K104">
        <v>0</v>
      </c>
      <c r="L104">
        <v>39</v>
      </c>
      <c r="M104">
        <v>578.52</v>
      </c>
      <c r="N104">
        <v>578.52</v>
      </c>
      <c r="O104">
        <v>234</v>
      </c>
      <c r="P104">
        <v>344.52</v>
      </c>
    </row>
    <row r="105" spans="1:16" x14ac:dyDescent="0.3">
      <c r="A105" s="1">
        <v>45658</v>
      </c>
      <c r="B105" s="2" t="s">
        <v>39</v>
      </c>
      <c r="C105" s="2" t="s">
        <v>88</v>
      </c>
      <c r="D105" s="2" t="s">
        <v>41</v>
      </c>
      <c r="E105" s="2" t="s">
        <v>42</v>
      </c>
      <c r="F105" s="2" t="s">
        <v>43</v>
      </c>
      <c r="G105" s="2" t="s">
        <v>136</v>
      </c>
      <c r="H105">
        <v>1</v>
      </c>
      <c r="I105">
        <v>1</v>
      </c>
      <c r="J105">
        <v>802.98</v>
      </c>
      <c r="K105">
        <v>0</v>
      </c>
      <c r="L105">
        <v>520</v>
      </c>
      <c r="M105">
        <v>802.98</v>
      </c>
      <c r="N105">
        <v>802.98</v>
      </c>
      <c r="O105">
        <v>520</v>
      </c>
      <c r="P105">
        <v>282.98</v>
      </c>
    </row>
    <row r="106" spans="1:16" x14ac:dyDescent="0.3">
      <c r="A106" s="1">
        <v>45658</v>
      </c>
      <c r="B106" s="2" t="s">
        <v>56</v>
      </c>
      <c r="C106" s="2" t="s">
        <v>57</v>
      </c>
      <c r="D106" s="2" t="s">
        <v>50</v>
      </c>
      <c r="E106" s="2" t="s">
        <v>47</v>
      </c>
      <c r="F106" s="2" t="s">
        <v>48</v>
      </c>
      <c r="G106" s="2" t="s">
        <v>60</v>
      </c>
      <c r="H106">
        <v>1</v>
      </c>
      <c r="I106">
        <v>1</v>
      </c>
      <c r="J106">
        <v>76.34</v>
      </c>
      <c r="K106">
        <v>0.1</v>
      </c>
      <c r="L106">
        <v>31</v>
      </c>
      <c r="M106">
        <v>76.34</v>
      </c>
      <c r="N106">
        <v>68.706000000000003</v>
      </c>
      <c r="O106">
        <v>31</v>
      </c>
      <c r="P106">
        <v>37.706000000000003</v>
      </c>
    </row>
    <row r="107" spans="1:16" x14ac:dyDescent="0.3">
      <c r="A107" s="1">
        <v>45658</v>
      </c>
      <c r="B107" s="2" t="s">
        <v>65</v>
      </c>
      <c r="C107" s="2" t="s">
        <v>66</v>
      </c>
      <c r="D107" s="2" t="s">
        <v>41</v>
      </c>
      <c r="E107" s="2" t="s">
        <v>47</v>
      </c>
      <c r="F107" s="2" t="s">
        <v>48</v>
      </c>
      <c r="G107" s="2" t="s">
        <v>67</v>
      </c>
      <c r="H107">
        <v>1</v>
      </c>
      <c r="I107">
        <v>4</v>
      </c>
      <c r="J107">
        <v>76.900000000000006</v>
      </c>
      <c r="K107">
        <v>0</v>
      </c>
      <c r="L107">
        <v>31</v>
      </c>
      <c r="M107">
        <v>307.60000000000002</v>
      </c>
      <c r="N107">
        <v>307.60000000000002</v>
      </c>
      <c r="O107">
        <v>124</v>
      </c>
      <c r="P107">
        <v>183.60000000000002</v>
      </c>
    </row>
    <row r="108" spans="1:16" x14ac:dyDescent="0.3">
      <c r="A108" s="1">
        <v>45658</v>
      </c>
      <c r="B108" s="2" t="s">
        <v>39</v>
      </c>
      <c r="C108" s="2" t="s">
        <v>40</v>
      </c>
      <c r="D108" s="2" t="s">
        <v>41</v>
      </c>
      <c r="E108" s="2" t="s">
        <v>47</v>
      </c>
      <c r="F108" s="2" t="s">
        <v>52</v>
      </c>
      <c r="G108" s="2" t="s">
        <v>137</v>
      </c>
      <c r="H108">
        <v>1</v>
      </c>
      <c r="I108">
        <v>4</v>
      </c>
      <c r="J108">
        <v>43.15</v>
      </c>
      <c r="K108">
        <v>0</v>
      </c>
      <c r="L108">
        <v>18</v>
      </c>
      <c r="M108">
        <v>172.6</v>
      </c>
      <c r="N108">
        <v>172.6</v>
      </c>
      <c r="O108">
        <v>72</v>
      </c>
      <c r="P108">
        <v>100.6</v>
      </c>
    </row>
    <row r="109" spans="1:16" x14ac:dyDescent="0.3">
      <c r="A109" s="1">
        <v>45658</v>
      </c>
      <c r="B109" s="2" t="s">
        <v>39</v>
      </c>
      <c r="C109" s="2" t="s">
        <v>40</v>
      </c>
      <c r="D109" s="2" t="s">
        <v>41</v>
      </c>
      <c r="E109" s="2" t="s">
        <v>47</v>
      </c>
      <c r="F109" s="2" t="s">
        <v>43</v>
      </c>
      <c r="G109" s="2" t="s">
        <v>137</v>
      </c>
      <c r="H109">
        <v>1</v>
      </c>
      <c r="I109">
        <v>1</v>
      </c>
      <c r="J109">
        <v>61974</v>
      </c>
      <c r="K109">
        <v>0</v>
      </c>
      <c r="L109">
        <v>395</v>
      </c>
      <c r="M109">
        <v>61974</v>
      </c>
      <c r="N109">
        <v>61974</v>
      </c>
      <c r="O109">
        <v>395</v>
      </c>
      <c r="P109">
        <v>61579</v>
      </c>
    </row>
    <row r="110" spans="1:16" x14ac:dyDescent="0.3">
      <c r="A110" s="1">
        <v>45658</v>
      </c>
      <c r="B110" s="2" t="s">
        <v>39</v>
      </c>
      <c r="C110" s="2" t="s">
        <v>54</v>
      </c>
      <c r="D110" s="2" t="s">
        <v>41</v>
      </c>
      <c r="E110" s="2" t="s">
        <v>42</v>
      </c>
      <c r="F110" s="2" t="s">
        <v>43</v>
      </c>
      <c r="G110" s="2" t="s">
        <v>138</v>
      </c>
      <c r="H110">
        <v>1</v>
      </c>
      <c r="I110">
        <v>2</v>
      </c>
      <c r="J110">
        <v>294.64</v>
      </c>
      <c r="K110">
        <v>0</v>
      </c>
      <c r="L110">
        <v>182</v>
      </c>
      <c r="M110">
        <v>589.28</v>
      </c>
      <c r="N110">
        <v>589.28</v>
      </c>
      <c r="O110">
        <v>364</v>
      </c>
      <c r="P110">
        <v>225.27999999999997</v>
      </c>
    </row>
    <row r="111" spans="1:16" x14ac:dyDescent="0.3">
      <c r="A111" s="1">
        <v>45658</v>
      </c>
      <c r="B111" s="2" t="s">
        <v>56</v>
      </c>
      <c r="C111" s="2" t="s">
        <v>62</v>
      </c>
      <c r="D111" s="2" t="s">
        <v>50</v>
      </c>
      <c r="E111" s="2" t="s">
        <v>42</v>
      </c>
      <c r="F111" s="2" t="s">
        <v>52</v>
      </c>
      <c r="G111" s="2" t="s">
        <v>139</v>
      </c>
      <c r="H111">
        <v>1</v>
      </c>
      <c r="I111">
        <v>3</v>
      </c>
      <c r="J111">
        <v>204.24</v>
      </c>
      <c r="K111">
        <v>0.12</v>
      </c>
      <c r="L111">
        <v>124</v>
      </c>
      <c r="M111">
        <v>612.72</v>
      </c>
      <c r="N111">
        <v>539.19360000000006</v>
      </c>
      <c r="O111">
        <v>372</v>
      </c>
      <c r="P111">
        <v>167.19360000000006</v>
      </c>
    </row>
    <row r="112" spans="1:16" x14ac:dyDescent="0.3">
      <c r="A112" s="1">
        <v>45658</v>
      </c>
      <c r="B112" s="2" t="s">
        <v>56</v>
      </c>
      <c r="C112" s="2" t="s">
        <v>57</v>
      </c>
      <c r="D112" s="2" t="s">
        <v>41</v>
      </c>
      <c r="E112" s="2" t="s">
        <v>47</v>
      </c>
      <c r="F112" s="2" t="s">
        <v>43</v>
      </c>
      <c r="G112" s="2" t="s">
        <v>86</v>
      </c>
      <c r="H112">
        <v>1</v>
      </c>
      <c r="I112">
        <v>2</v>
      </c>
      <c r="J112">
        <v>112.94</v>
      </c>
      <c r="K112">
        <v>0.1</v>
      </c>
      <c r="L112">
        <v>54</v>
      </c>
      <c r="M112">
        <v>225.88</v>
      </c>
      <c r="N112">
        <v>203.292</v>
      </c>
      <c r="O112">
        <v>108</v>
      </c>
      <c r="P112">
        <v>95.292000000000002</v>
      </c>
    </row>
    <row r="113" spans="1:16" x14ac:dyDescent="0.3">
      <c r="A113" s="1">
        <v>45689</v>
      </c>
      <c r="B113" s="2" t="s">
        <v>39</v>
      </c>
      <c r="C113" s="2" t="s">
        <v>88</v>
      </c>
      <c r="D113" s="2" t="s">
        <v>50</v>
      </c>
      <c r="E113" s="2" t="s">
        <v>51</v>
      </c>
      <c r="F113" s="2" t="s">
        <v>43</v>
      </c>
      <c r="G113" s="2" t="s">
        <v>140</v>
      </c>
      <c r="H113">
        <v>2</v>
      </c>
      <c r="I113">
        <v>18</v>
      </c>
      <c r="J113">
        <v>769.41</v>
      </c>
      <c r="K113">
        <v>0.08</v>
      </c>
      <c r="L113">
        <v>520</v>
      </c>
      <c r="M113">
        <v>13849.38</v>
      </c>
      <c r="N113">
        <v>12741.429599999999</v>
      </c>
      <c r="O113">
        <v>9360</v>
      </c>
      <c r="P113">
        <v>3381.4295999999995</v>
      </c>
    </row>
    <row r="114" spans="1:16" x14ac:dyDescent="0.3">
      <c r="A114" s="1">
        <v>45689</v>
      </c>
      <c r="B114" s="2" t="s">
        <v>39</v>
      </c>
      <c r="C114" s="2" t="s">
        <v>40</v>
      </c>
      <c r="D114" s="2" t="s">
        <v>46</v>
      </c>
      <c r="E114" s="2" t="s">
        <v>51</v>
      </c>
      <c r="F114" s="2" t="s">
        <v>52</v>
      </c>
      <c r="G114" s="2" t="s">
        <v>141</v>
      </c>
      <c r="H114">
        <v>1</v>
      </c>
      <c r="I114">
        <v>11</v>
      </c>
      <c r="J114">
        <v>38.35</v>
      </c>
      <c r="K114">
        <v>0.1</v>
      </c>
      <c r="L114">
        <v>18</v>
      </c>
      <c r="M114">
        <v>421.85</v>
      </c>
      <c r="N114">
        <v>379.66500000000002</v>
      </c>
      <c r="O114">
        <v>198</v>
      </c>
      <c r="P114">
        <v>181.66500000000002</v>
      </c>
    </row>
    <row r="115" spans="1:16" x14ac:dyDescent="0.3">
      <c r="A115" s="1">
        <v>45689</v>
      </c>
      <c r="B115" s="2" t="s">
        <v>56</v>
      </c>
      <c r="C115" s="2" t="s">
        <v>62</v>
      </c>
      <c r="D115" s="2" t="s">
        <v>41</v>
      </c>
      <c r="E115" s="2" t="s">
        <v>47</v>
      </c>
      <c r="F115" s="2" t="s">
        <v>43</v>
      </c>
      <c r="G115" s="2" t="s">
        <v>142</v>
      </c>
      <c r="H115">
        <v>1</v>
      </c>
      <c r="I115">
        <v>1</v>
      </c>
      <c r="J115">
        <v>110.85</v>
      </c>
      <c r="K115">
        <v>0</v>
      </c>
      <c r="L115">
        <v>54</v>
      </c>
      <c r="M115">
        <v>110.85</v>
      </c>
      <c r="N115">
        <v>110.85</v>
      </c>
      <c r="O115">
        <v>54</v>
      </c>
      <c r="P115">
        <v>56.849999999999994</v>
      </c>
    </row>
    <row r="116" spans="1:16" x14ac:dyDescent="0.3">
      <c r="A116" s="1">
        <v>45689</v>
      </c>
      <c r="B116" s="2" t="s">
        <v>56</v>
      </c>
      <c r="C116" s="2" t="s">
        <v>57</v>
      </c>
      <c r="D116" s="2" t="s">
        <v>41</v>
      </c>
      <c r="E116" s="2" t="s">
        <v>47</v>
      </c>
      <c r="F116" s="2" t="s">
        <v>48</v>
      </c>
      <c r="G116" s="2" t="s">
        <v>86</v>
      </c>
      <c r="H116">
        <v>1</v>
      </c>
      <c r="I116">
        <v>3</v>
      </c>
      <c r="J116">
        <v>94.02</v>
      </c>
      <c r="K116">
        <v>0</v>
      </c>
      <c r="L116">
        <v>39</v>
      </c>
      <c r="M116">
        <v>282.06</v>
      </c>
      <c r="N116">
        <v>282.06</v>
      </c>
      <c r="O116">
        <v>117</v>
      </c>
      <c r="P116">
        <v>165.06</v>
      </c>
    </row>
    <row r="117" spans="1:16" x14ac:dyDescent="0.3">
      <c r="A117" s="1">
        <v>45689</v>
      </c>
      <c r="B117" s="2" t="s">
        <v>56</v>
      </c>
      <c r="C117" s="2" t="s">
        <v>57</v>
      </c>
      <c r="D117" s="2" t="s">
        <v>41</v>
      </c>
      <c r="E117" s="2" t="s">
        <v>47</v>
      </c>
      <c r="F117" s="2" t="s">
        <v>52</v>
      </c>
      <c r="G117" s="2" t="s">
        <v>86</v>
      </c>
      <c r="H117">
        <v>1</v>
      </c>
      <c r="I117">
        <v>2</v>
      </c>
      <c r="J117">
        <v>44</v>
      </c>
      <c r="K117">
        <v>0</v>
      </c>
      <c r="L117">
        <v>18</v>
      </c>
      <c r="M117">
        <v>88</v>
      </c>
      <c r="N117">
        <v>88</v>
      </c>
      <c r="O117">
        <v>36</v>
      </c>
      <c r="P117">
        <v>52</v>
      </c>
    </row>
    <row r="118" spans="1:16" x14ac:dyDescent="0.3">
      <c r="A118" s="1">
        <v>45689</v>
      </c>
      <c r="B118" s="2" t="s">
        <v>56</v>
      </c>
      <c r="C118" s="2" t="s">
        <v>57</v>
      </c>
      <c r="D118" s="2" t="s">
        <v>46</v>
      </c>
      <c r="E118" s="2" t="s">
        <v>42</v>
      </c>
      <c r="F118" s="2" t="s">
        <v>48</v>
      </c>
      <c r="G118" s="2" t="s">
        <v>111</v>
      </c>
      <c r="H118">
        <v>1</v>
      </c>
      <c r="I118">
        <v>1</v>
      </c>
      <c r="J118">
        <v>135.31</v>
      </c>
      <c r="K118">
        <v>0.08</v>
      </c>
      <c r="L118">
        <v>63</v>
      </c>
      <c r="M118">
        <v>135.31</v>
      </c>
      <c r="N118">
        <v>124.48520000000001</v>
      </c>
      <c r="O118">
        <v>63</v>
      </c>
      <c r="P118">
        <v>61.485200000000006</v>
      </c>
    </row>
    <row r="119" spans="1:16" x14ac:dyDescent="0.3">
      <c r="A119" s="1">
        <v>45689</v>
      </c>
      <c r="B119" s="2" t="s">
        <v>56</v>
      </c>
      <c r="C119" s="2" t="s">
        <v>62</v>
      </c>
      <c r="D119" s="2" t="s">
        <v>41</v>
      </c>
      <c r="E119" s="2" t="s">
        <v>42</v>
      </c>
      <c r="F119" s="2" t="s">
        <v>43</v>
      </c>
      <c r="G119" s="2" t="s">
        <v>143</v>
      </c>
      <c r="H119">
        <v>1</v>
      </c>
      <c r="I119">
        <v>1</v>
      </c>
      <c r="J119">
        <v>633.84</v>
      </c>
      <c r="K119">
        <v>0</v>
      </c>
      <c r="L119">
        <v>395</v>
      </c>
      <c r="M119">
        <v>633.84</v>
      </c>
      <c r="N119">
        <v>633.84</v>
      </c>
      <c r="O119">
        <v>395</v>
      </c>
      <c r="P119">
        <v>238.84000000000003</v>
      </c>
    </row>
    <row r="120" spans="1:16" x14ac:dyDescent="0.3">
      <c r="A120" s="1">
        <v>45689</v>
      </c>
      <c r="B120" s="2" t="s">
        <v>56</v>
      </c>
      <c r="C120" s="2" t="s">
        <v>62</v>
      </c>
      <c r="D120" s="2" t="s">
        <v>41</v>
      </c>
      <c r="E120" s="2" t="s">
        <v>42</v>
      </c>
      <c r="F120" s="2" t="s">
        <v>52</v>
      </c>
      <c r="G120" s="2" t="s">
        <v>143</v>
      </c>
      <c r="H120">
        <v>1</v>
      </c>
      <c r="I120">
        <v>2</v>
      </c>
      <c r="J120">
        <v>219.09</v>
      </c>
      <c r="K120">
        <v>0</v>
      </c>
      <c r="L120">
        <v>124</v>
      </c>
      <c r="M120">
        <v>438.18</v>
      </c>
      <c r="N120">
        <v>438.18</v>
      </c>
      <c r="O120">
        <v>248</v>
      </c>
      <c r="P120">
        <v>190.18</v>
      </c>
    </row>
    <row r="121" spans="1:16" x14ac:dyDescent="0.3">
      <c r="A121" s="1">
        <v>45689</v>
      </c>
      <c r="B121" s="2" t="s">
        <v>56</v>
      </c>
      <c r="C121" s="2" t="s">
        <v>62</v>
      </c>
      <c r="D121" s="2" t="s">
        <v>41</v>
      </c>
      <c r="E121" s="2" t="s">
        <v>42</v>
      </c>
      <c r="F121" s="2" t="s">
        <v>48</v>
      </c>
      <c r="G121" s="2" t="s">
        <v>143</v>
      </c>
      <c r="H121">
        <v>1</v>
      </c>
      <c r="I121">
        <v>3</v>
      </c>
      <c r="J121">
        <v>23.67</v>
      </c>
      <c r="K121">
        <v>0</v>
      </c>
      <c r="L121">
        <v>8</v>
      </c>
      <c r="M121">
        <v>71.010000000000005</v>
      </c>
      <c r="N121">
        <v>71.010000000000005</v>
      </c>
      <c r="O121">
        <v>24</v>
      </c>
      <c r="P121">
        <v>47.010000000000005</v>
      </c>
    </row>
    <row r="122" spans="1:16" x14ac:dyDescent="0.3">
      <c r="A122" s="1">
        <v>45689</v>
      </c>
      <c r="B122" s="2" t="s">
        <v>39</v>
      </c>
      <c r="C122" s="2" t="s">
        <v>40</v>
      </c>
      <c r="D122" s="2" t="s">
        <v>41</v>
      </c>
      <c r="E122" s="2" t="s">
        <v>47</v>
      </c>
      <c r="F122" s="2" t="s">
        <v>52</v>
      </c>
      <c r="G122" s="2" t="s">
        <v>144</v>
      </c>
      <c r="H122">
        <v>1</v>
      </c>
      <c r="I122">
        <v>4</v>
      </c>
      <c r="J122">
        <v>216.14</v>
      </c>
      <c r="K122">
        <v>0</v>
      </c>
      <c r="L122">
        <v>124</v>
      </c>
      <c r="M122">
        <v>864.56</v>
      </c>
      <c r="N122">
        <v>864.56</v>
      </c>
      <c r="O122">
        <v>496</v>
      </c>
      <c r="P122">
        <v>368.55999999999995</v>
      </c>
    </row>
    <row r="123" spans="1:16" x14ac:dyDescent="0.3">
      <c r="A123" s="1">
        <v>45689</v>
      </c>
      <c r="B123" s="2" t="s">
        <v>39</v>
      </c>
      <c r="C123" s="2" t="s">
        <v>40</v>
      </c>
      <c r="D123" s="2" t="s">
        <v>41</v>
      </c>
      <c r="E123" s="2" t="s">
        <v>47</v>
      </c>
      <c r="F123" s="2" t="s">
        <v>48</v>
      </c>
      <c r="G123" s="2" t="s">
        <v>144</v>
      </c>
      <c r="H123">
        <v>1</v>
      </c>
      <c r="I123">
        <v>2</v>
      </c>
      <c r="J123">
        <v>76.569999999999993</v>
      </c>
      <c r="K123">
        <v>0</v>
      </c>
      <c r="L123">
        <v>31</v>
      </c>
      <c r="M123">
        <v>153.13999999999999</v>
      </c>
      <c r="N123">
        <v>153.13999999999999</v>
      </c>
      <c r="O123">
        <v>62</v>
      </c>
      <c r="P123">
        <v>91.139999999999986</v>
      </c>
    </row>
    <row r="124" spans="1:16" x14ac:dyDescent="0.3">
      <c r="A124" s="1">
        <v>45689</v>
      </c>
      <c r="B124" s="2" t="s">
        <v>39</v>
      </c>
      <c r="C124" s="2" t="s">
        <v>40</v>
      </c>
      <c r="D124" s="2" t="s">
        <v>41</v>
      </c>
      <c r="E124" s="2" t="s">
        <v>51</v>
      </c>
      <c r="F124" s="2" t="s">
        <v>43</v>
      </c>
      <c r="G124" s="2" t="s">
        <v>144</v>
      </c>
      <c r="H124">
        <v>1</v>
      </c>
      <c r="I124">
        <v>10</v>
      </c>
      <c r="J124">
        <v>1057.1600000000001</v>
      </c>
      <c r="K124">
        <v>0</v>
      </c>
      <c r="L124">
        <v>760</v>
      </c>
      <c r="M124">
        <v>10571.6</v>
      </c>
      <c r="N124">
        <v>10571.6</v>
      </c>
      <c r="O124">
        <v>7600</v>
      </c>
      <c r="P124">
        <v>2971.6000000000004</v>
      </c>
    </row>
    <row r="125" spans="1:16" x14ac:dyDescent="0.3">
      <c r="A125" s="1">
        <v>45689</v>
      </c>
      <c r="B125" s="2" t="s">
        <v>39</v>
      </c>
      <c r="C125" s="2" t="s">
        <v>40</v>
      </c>
      <c r="D125" s="2" t="s">
        <v>50</v>
      </c>
      <c r="E125" s="2" t="s">
        <v>51</v>
      </c>
      <c r="F125" s="2" t="s">
        <v>43</v>
      </c>
      <c r="G125" s="2" t="s">
        <v>145</v>
      </c>
      <c r="H125">
        <v>1</v>
      </c>
      <c r="I125">
        <v>8</v>
      </c>
      <c r="J125">
        <v>267.44</v>
      </c>
      <c r="K125">
        <v>0.05</v>
      </c>
      <c r="L125">
        <v>182</v>
      </c>
      <c r="M125">
        <v>2139.52</v>
      </c>
      <c r="N125">
        <v>2032.5439999999999</v>
      </c>
      <c r="O125">
        <v>1456</v>
      </c>
      <c r="P125">
        <v>576.54399999999987</v>
      </c>
    </row>
    <row r="126" spans="1:16" x14ac:dyDescent="0.3">
      <c r="A126" s="1">
        <v>45689</v>
      </c>
      <c r="B126" s="2" t="s">
        <v>39</v>
      </c>
      <c r="C126" s="2" t="s">
        <v>40</v>
      </c>
      <c r="D126" s="2" t="s">
        <v>41</v>
      </c>
      <c r="E126" s="2" t="s">
        <v>47</v>
      </c>
      <c r="F126" s="2" t="s">
        <v>52</v>
      </c>
      <c r="G126" s="2" t="s">
        <v>137</v>
      </c>
      <c r="H126">
        <v>1</v>
      </c>
      <c r="I126">
        <v>3</v>
      </c>
      <c r="J126">
        <v>212.81</v>
      </c>
      <c r="K126">
        <v>0</v>
      </c>
      <c r="L126">
        <v>1240</v>
      </c>
      <c r="M126">
        <v>638.43000000000006</v>
      </c>
      <c r="N126">
        <v>638.43000000000006</v>
      </c>
      <c r="O126">
        <v>3720</v>
      </c>
      <c r="P126">
        <v>-3081.5699999999997</v>
      </c>
    </row>
    <row r="127" spans="1:16" x14ac:dyDescent="0.3">
      <c r="A127" s="1">
        <v>45689</v>
      </c>
      <c r="B127" s="2" t="s">
        <v>39</v>
      </c>
      <c r="C127" s="2" t="s">
        <v>92</v>
      </c>
      <c r="D127" s="2" t="s">
        <v>50</v>
      </c>
      <c r="E127" s="2" t="s">
        <v>42</v>
      </c>
      <c r="F127" s="2" t="s">
        <v>43</v>
      </c>
      <c r="G127" s="2" t="s">
        <v>146</v>
      </c>
      <c r="H127">
        <v>1</v>
      </c>
      <c r="I127">
        <v>1</v>
      </c>
      <c r="J127">
        <v>104.53</v>
      </c>
      <c r="K127">
        <v>0.05</v>
      </c>
      <c r="L127">
        <v>54</v>
      </c>
      <c r="M127">
        <v>104.53</v>
      </c>
      <c r="N127">
        <v>99.3035</v>
      </c>
      <c r="O127">
        <v>54</v>
      </c>
      <c r="P127">
        <v>45.3035</v>
      </c>
    </row>
    <row r="128" spans="1:16" x14ac:dyDescent="0.3">
      <c r="A128" s="1">
        <v>45689</v>
      </c>
      <c r="B128" s="2" t="s">
        <v>39</v>
      </c>
      <c r="C128" s="2" t="s">
        <v>40</v>
      </c>
      <c r="D128" s="2" t="s">
        <v>50</v>
      </c>
      <c r="E128" s="2" t="s">
        <v>42</v>
      </c>
      <c r="F128" s="2" t="s">
        <v>52</v>
      </c>
      <c r="G128" s="2" t="s">
        <v>103</v>
      </c>
      <c r="H128">
        <v>1</v>
      </c>
      <c r="I128">
        <v>2</v>
      </c>
      <c r="J128">
        <v>43.72</v>
      </c>
      <c r="K128">
        <v>0.05</v>
      </c>
      <c r="L128">
        <v>18</v>
      </c>
      <c r="M128">
        <v>87.44</v>
      </c>
      <c r="N128">
        <v>83.067999999999998</v>
      </c>
      <c r="O128">
        <v>36</v>
      </c>
      <c r="P128">
        <v>47.067999999999998</v>
      </c>
    </row>
    <row r="129" spans="1:16" x14ac:dyDescent="0.3">
      <c r="A129" s="1">
        <v>45689</v>
      </c>
      <c r="B129" s="2" t="s">
        <v>39</v>
      </c>
      <c r="C129" s="2" t="s">
        <v>88</v>
      </c>
      <c r="D129" s="2" t="s">
        <v>50</v>
      </c>
      <c r="E129" s="2" t="s">
        <v>47</v>
      </c>
      <c r="F129" s="2" t="s">
        <v>43</v>
      </c>
      <c r="G129" s="2" t="s">
        <v>133</v>
      </c>
      <c r="H129">
        <v>2</v>
      </c>
      <c r="I129">
        <v>5</v>
      </c>
      <c r="J129">
        <v>583.70499999999993</v>
      </c>
      <c r="K129">
        <v>6.5000000000000002E-2</v>
      </c>
      <c r="L129">
        <v>351</v>
      </c>
      <c r="M129">
        <v>2065.79</v>
      </c>
      <c r="N129">
        <v>1936.462</v>
      </c>
      <c r="O129">
        <v>1248</v>
      </c>
      <c r="P129">
        <v>688.46199999999999</v>
      </c>
    </row>
    <row r="130" spans="1:16" x14ac:dyDescent="0.3">
      <c r="A130" s="1">
        <v>45689</v>
      </c>
      <c r="B130" s="2" t="s">
        <v>39</v>
      </c>
      <c r="C130" s="2" t="s">
        <v>88</v>
      </c>
      <c r="D130" s="2" t="s">
        <v>50</v>
      </c>
      <c r="E130" s="2" t="s">
        <v>47</v>
      </c>
      <c r="F130" s="2" t="s">
        <v>48</v>
      </c>
      <c r="G130" s="2" t="s">
        <v>133</v>
      </c>
      <c r="H130">
        <v>1</v>
      </c>
      <c r="I130">
        <v>5</v>
      </c>
      <c r="J130">
        <v>95.13</v>
      </c>
      <c r="K130">
        <v>0.08</v>
      </c>
      <c r="L130">
        <v>39</v>
      </c>
      <c r="M130">
        <v>475.65</v>
      </c>
      <c r="N130">
        <v>437.59800000000001</v>
      </c>
      <c r="O130">
        <v>195</v>
      </c>
      <c r="P130">
        <v>242.59800000000001</v>
      </c>
    </row>
    <row r="131" spans="1:16" x14ac:dyDescent="0.3">
      <c r="A131" s="1">
        <v>45689</v>
      </c>
      <c r="B131" s="2" t="s">
        <v>65</v>
      </c>
      <c r="C131" s="2" t="s">
        <v>66</v>
      </c>
      <c r="D131" s="2" t="s">
        <v>50</v>
      </c>
      <c r="E131" s="2" t="s">
        <v>47</v>
      </c>
      <c r="F131" s="2" t="s">
        <v>52</v>
      </c>
      <c r="G131" s="2" t="s">
        <v>74</v>
      </c>
      <c r="H131">
        <v>1</v>
      </c>
      <c r="I131">
        <v>2</v>
      </c>
      <c r="J131">
        <v>45.72</v>
      </c>
      <c r="K131">
        <v>0.05</v>
      </c>
      <c r="L131">
        <v>18</v>
      </c>
      <c r="M131">
        <v>91.44</v>
      </c>
      <c r="N131">
        <v>86.867999999999995</v>
      </c>
      <c r="O131">
        <v>36</v>
      </c>
      <c r="P131">
        <v>50.867999999999995</v>
      </c>
    </row>
    <row r="132" spans="1:16" x14ac:dyDescent="0.3">
      <c r="A132" s="1">
        <v>45689</v>
      </c>
      <c r="B132" s="2" t="s">
        <v>56</v>
      </c>
      <c r="C132" s="2" t="s">
        <v>57</v>
      </c>
      <c r="D132" s="2" t="s">
        <v>50</v>
      </c>
      <c r="E132" s="2" t="s">
        <v>42</v>
      </c>
      <c r="F132" s="2" t="s">
        <v>43</v>
      </c>
      <c r="G132" s="2" t="s">
        <v>147</v>
      </c>
      <c r="H132">
        <v>1</v>
      </c>
      <c r="I132">
        <v>2</v>
      </c>
      <c r="J132">
        <v>1135.74</v>
      </c>
      <c r="K132">
        <v>0</v>
      </c>
      <c r="L132">
        <v>760</v>
      </c>
      <c r="M132">
        <v>2271.48</v>
      </c>
      <c r="N132">
        <v>2271.48</v>
      </c>
      <c r="O132">
        <v>1520</v>
      </c>
      <c r="P132">
        <v>751.48</v>
      </c>
    </row>
    <row r="133" spans="1:16" x14ac:dyDescent="0.3">
      <c r="A133" s="1">
        <v>45689</v>
      </c>
      <c r="B133" s="2" t="s">
        <v>39</v>
      </c>
      <c r="C133" s="2" t="s">
        <v>92</v>
      </c>
      <c r="D133" s="2" t="s">
        <v>41</v>
      </c>
      <c r="E133" s="2" t="s">
        <v>47</v>
      </c>
      <c r="F133" s="2" t="s">
        <v>43</v>
      </c>
      <c r="G133" s="2" t="s">
        <v>148</v>
      </c>
      <c r="H133">
        <v>1</v>
      </c>
      <c r="I133">
        <v>1</v>
      </c>
      <c r="J133">
        <v>180.57</v>
      </c>
      <c r="K133">
        <v>0</v>
      </c>
      <c r="L133">
        <v>86</v>
      </c>
      <c r="M133">
        <v>180.57</v>
      </c>
      <c r="N133">
        <v>180.57</v>
      </c>
      <c r="O133">
        <v>86</v>
      </c>
      <c r="P133">
        <v>94.57</v>
      </c>
    </row>
    <row r="134" spans="1:16" x14ac:dyDescent="0.3">
      <c r="A134" s="1">
        <v>45689</v>
      </c>
      <c r="B134" s="2" t="s">
        <v>39</v>
      </c>
      <c r="C134" s="2" t="s">
        <v>92</v>
      </c>
      <c r="D134" s="2" t="s">
        <v>50</v>
      </c>
      <c r="E134" s="2" t="s">
        <v>47</v>
      </c>
      <c r="F134" s="2" t="s">
        <v>43</v>
      </c>
      <c r="G134" s="2" t="s">
        <v>104</v>
      </c>
      <c r="H134">
        <v>1</v>
      </c>
      <c r="I134">
        <v>4</v>
      </c>
      <c r="J134">
        <v>635.88</v>
      </c>
      <c r="K134">
        <v>0.08</v>
      </c>
      <c r="L134">
        <v>395</v>
      </c>
      <c r="M134">
        <v>2543.52</v>
      </c>
      <c r="N134">
        <v>2340.0383999999999</v>
      </c>
      <c r="O134">
        <v>1580</v>
      </c>
      <c r="P134">
        <v>760.03839999999991</v>
      </c>
    </row>
    <row r="135" spans="1:16" x14ac:dyDescent="0.3">
      <c r="A135" s="1">
        <v>45689</v>
      </c>
      <c r="B135" s="2" t="s">
        <v>39</v>
      </c>
      <c r="C135" s="2" t="s">
        <v>92</v>
      </c>
      <c r="D135" s="2" t="s">
        <v>50</v>
      </c>
      <c r="E135" s="2" t="s">
        <v>47</v>
      </c>
      <c r="F135" s="2" t="s">
        <v>52</v>
      </c>
      <c r="G135" s="2" t="s">
        <v>104</v>
      </c>
      <c r="H135">
        <v>1</v>
      </c>
      <c r="I135">
        <v>2</v>
      </c>
      <c r="J135">
        <v>43.49</v>
      </c>
      <c r="K135">
        <v>0</v>
      </c>
      <c r="L135">
        <v>18</v>
      </c>
      <c r="M135">
        <v>86.98</v>
      </c>
      <c r="N135">
        <v>86.98</v>
      </c>
      <c r="O135">
        <v>36</v>
      </c>
      <c r="P135">
        <v>50.980000000000004</v>
      </c>
    </row>
    <row r="136" spans="1:16" x14ac:dyDescent="0.3">
      <c r="A136" s="1">
        <v>45689</v>
      </c>
      <c r="B136" s="2" t="s">
        <v>75</v>
      </c>
      <c r="C136" s="2" t="s">
        <v>101</v>
      </c>
      <c r="D136" s="2" t="s">
        <v>50</v>
      </c>
      <c r="E136" s="2" t="s">
        <v>47</v>
      </c>
      <c r="F136" s="2" t="s">
        <v>52</v>
      </c>
      <c r="G136" s="2" t="s">
        <v>149</v>
      </c>
      <c r="H136">
        <v>1</v>
      </c>
      <c r="I136">
        <v>4</v>
      </c>
      <c r="J136">
        <v>45.68</v>
      </c>
      <c r="K136">
        <v>0</v>
      </c>
      <c r="L136">
        <v>18</v>
      </c>
      <c r="M136">
        <v>182.72</v>
      </c>
      <c r="N136">
        <v>182.72</v>
      </c>
      <c r="O136">
        <v>72</v>
      </c>
      <c r="P136">
        <v>110.72</v>
      </c>
    </row>
    <row r="137" spans="1:16" x14ac:dyDescent="0.3">
      <c r="A137" s="1">
        <v>45689</v>
      </c>
      <c r="B137" s="2" t="s">
        <v>56</v>
      </c>
      <c r="C137" s="2" t="s">
        <v>57</v>
      </c>
      <c r="D137" s="2" t="s">
        <v>50</v>
      </c>
      <c r="E137" s="2" t="s">
        <v>42</v>
      </c>
      <c r="F137" s="2" t="s">
        <v>52</v>
      </c>
      <c r="G137" s="2" t="s">
        <v>150</v>
      </c>
      <c r="H137">
        <v>1</v>
      </c>
      <c r="I137">
        <v>3</v>
      </c>
      <c r="J137">
        <v>43.8</v>
      </c>
      <c r="K137">
        <v>0.1</v>
      </c>
      <c r="L137">
        <v>18</v>
      </c>
      <c r="M137">
        <v>131.39999999999998</v>
      </c>
      <c r="N137">
        <v>118.25999999999998</v>
      </c>
      <c r="O137">
        <v>54</v>
      </c>
      <c r="P137">
        <v>64.259999999999977</v>
      </c>
    </row>
    <row r="138" spans="1:16" x14ac:dyDescent="0.3">
      <c r="A138" s="1">
        <v>45689</v>
      </c>
      <c r="B138" s="2" t="s">
        <v>56</v>
      </c>
      <c r="C138" s="2" t="s">
        <v>57</v>
      </c>
      <c r="D138" s="2" t="s">
        <v>50</v>
      </c>
      <c r="E138" s="2" t="s">
        <v>42</v>
      </c>
      <c r="F138" s="2" t="s">
        <v>48</v>
      </c>
      <c r="G138" s="2" t="s">
        <v>150</v>
      </c>
      <c r="H138">
        <v>1</v>
      </c>
      <c r="I138">
        <v>3</v>
      </c>
      <c r="J138">
        <v>23.87</v>
      </c>
      <c r="K138">
        <v>0.08</v>
      </c>
      <c r="L138">
        <v>8</v>
      </c>
      <c r="M138">
        <v>71.61</v>
      </c>
      <c r="N138">
        <v>65.881200000000007</v>
      </c>
      <c r="O138">
        <v>24</v>
      </c>
      <c r="P138">
        <v>41.881200000000007</v>
      </c>
    </row>
    <row r="139" spans="1:16" x14ac:dyDescent="0.3">
      <c r="A139" s="1">
        <v>45689</v>
      </c>
      <c r="B139" s="2" t="s">
        <v>39</v>
      </c>
      <c r="C139" s="2" t="s">
        <v>40</v>
      </c>
      <c r="D139" s="2" t="s">
        <v>50</v>
      </c>
      <c r="E139" s="2" t="s">
        <v>51</v>
      </c>
      <c r="F139" s="2" t="s">
        <v>48</v>
      </c>
      <c r="G139" s="2" t="s">
        <v>82</v>
      </c>
      <c r="H139">
        <v>1</v>
      </c>
      <c r="I139">
        <v>13</v>
      </c>
      <c r="J139">
        <v>86.99</v>
      </c>
      <c r="K139">
        <v>0.12</v>
      </c>
      <c r="L139">
        <v>39</v>
      </c>
      <c r="M139">
        <v>1130.8699999999999</v>
      </c>
      <c r="N139">
        <v>995.16559999999993</v>
      </c>
      <c r="O139">
        <v>507</v>
      </c>
      <c r="P139">
        <v>488.16559999999993</v>
      </c>
    </row>
    <row r="140" spans="1:16" x14ac:dyDescent="0.3">
      <c r="A140" s="1">
        <v>45689</v>
      </c>
      <c r="B140" s="2" t="s">
        <v>75</v>
      </c>
      <c r="C140" s="2" t="s">
        <v>76</v>
      </c>
      <c r="D140" s="2" t="s">
        <v>50</v>
      </c>
      <c r="E140" s="2" t="s">
        <v>51</v>
      </c>
      <c r="F140" s="2" t="s">
        <v>52</v>
      </c>
      <c r="G140" s="2" t="s">
        <v>151</v>
      </c>
      <c r="H140">
        <v>1</v>
      </c>
      <c r="I140">
        <v>7</v>
      </c>
      <c r="J140">
        <v>193.59</v>
      </c>
      <c r="K140">
        <v>0.05</v>
      </c>
      <c r="L140">
        <v>124</v>
      </c>
      <c r="M140">
        <v>1355.13</v>
      </c>
      <c r="N140">
        <v>1287.3735000000001</v>
      </c>
      <c r="O140">
        <v>868</v>
      </c>
      <c r="P140">
        <v>419.37350000000015</v>
      </c>
    </row>
    <row r="141" spans="1:16" x14ac:dyDescent="0.3">
      <c r="A141" s="1">
        <v>45689</v>
      </c>
      <c r="B141" s="2" t="s">
        <v>75</v>
      </c>
      <c r="C141" s="2" t="s">
        <v>76</v>
      </c>
      <c r="D141" s="2" t="s">
        <v>50</v>
      </c>
      <c r="E141" s="2" t="s">
        <v>51</v>
      </c>
      <c r="F141" s="2" t="s">
        <v>43</v>
      </c>
      <c r="G141" s="2" t="s">
        <v>151</v>
      </c>
      <c r="H141">
        <v>1</v>
      </c>
      <c r="I141">
        <v>40</v>
      </c>
      <c r="J141">
        <v>1073.79</v>
      </c>
      <c r="K141">
        <v>0.05</v>
      </c>
      <c r="L141">
        <v>760</v>
      </c>
      <c r="M141">
        <v>42951.6</v>
      </c>
      <c r="N141">
        <v>40804.019999999997</v>
      </c>
      <c r="O141">
        <v>30400</v>
      </c>
      <c r="P141">
        <v>10404.019999999997</v>
      </c>
    </row>
    <row r="142" spans="1:16" x14ac:dyDescent="0.3">
      <c r="A142" s="1">
        <v>45689</v>
      </c>
      <c r="B142" s="2" t="s">
        <v>39</v>
      </c>
      <c r="C142" s="2" t="s">
        <v>152</v>
      </c>
      <c r="D142" s="2" t="s">
        <v>41</v>
      </c>
      <c r="E142" s="2" t="s">
        <v>51</v>
      </c>
      <c r="F142" s="2" t="s">
        <v>43</v>
      </c>
      <c r="G142" s="2" t="s">
        <v>153</v>
      </c>
      <c r="H142">
        <v>1</v>
      </c>
      <c r="I142">
        <v>11</v>
      </c>
      <c r="J142">
        <v>736.62</v>
      </c>
      <c r="K142">
        <v>0</v>
      </c>
      <c r="L142">
        <v>520</v>
      </c>
      <c r="M142">
        <v>8102.82</v>
      </c>
      <c r="N142">
        <v>8102.82</v>
      </c>
      <c r="O142">
        <v>5720</v>
      </c>
      <c r="P142">
        <v>2382.8199999999997</v>
      </c>
    </row>
    <row r="143" spans="1:16" x14ac:dyDescent="0.3">
      <c r="A143" s="1">
        <v>45689</v>
      </c>
      <c r="B143" s="2" t="s">
        <v>39</v>
      </c>
      <c r="C143" s="2" t="s">
        <v>152</v>
      </c>
      <c r="D143" s="2" t="s">
        <v>41</v>
      </c>
      <c r="E143" s="2" t="s">
        <v>51</v>
      </c>
      <c r="F143" s="2" t="s">
        <v>48</v>
      </c>
      <c r="G143" s="2" t="s">
        <v>153</v>
      </c>
      <c r="H143">
        <v>1</v>
      </c>
      <c r="I143">
        <v>19</v>
      </c>
      <c r="J143">
        <v>87.86</v>
      </c>
      <c r="K143">
        <v>0</v>
      </c>
      <c r="L143">
        <v>39</v>
      </c>
      <c r="M143">
        <v>1669.34</v>
      </c>
      <c r="N143">
        <v>1669.34</v>
      </c>
      <c r="O143">
        <v>741</v>
      </c>
      <c r="P143">
        <v>928.33999999999992</v>
      </c>
    </row>
    <row r="144" spans="1:16" x14ac:dyDescent="0.3">
      <c r="A144" s="1">
        <v>45689</v>
      </c>
      <c r="B144" s="2" t="s">
        <v>39</v>
      </c>
      <c r="C144" s="2" t="s">
        <v>92</v>
      </c>
      <c r="D144" s="2" t="s">
        <v>46</v>
      </c>
      <c r="E144" s="2" t="s">
        <v>51</v>
      </c>
      <c r="F144" s="2" t="s">
        <v>43</v>
      </c>
      <c r="G144" s="2" t="s">
        <v>154</v>
      </c>
      <c r="H144">
        <v>2</v>
      </c>
      <c r="I144">
        <v>17</v>
      </c>
      <c r="J144">
        <v>661.42500000000007</v>
      </c>
      <c r="K144">
        <v>0.08</v>
      </c>
      <c r="L144">
        <v>471</v>
      </c>
      <c r="M144">
        <v>14783.61</v>
      </c>
      <c r="N144">
        <v>13600.921200000001</v>
      </c>
      <c r="O144">
        <v>10608</v>
      </c>
      <c r="P144">
        <v>2992.9212000000016</v>
      </c>
    </row>
    <row r="145" spans="1:16" x14ac:dyDescent="0.3">
      <c r="A145" s="1">
        <v>45689</v>
      </c>
      <c r="B145" s="2" t="s">
        <v>39</v>
      </c>
      <c r="C145" s="2" t="s">
        <v>92</v>
      </c>
      <c r="D145" s="2" t="s">
        <v>46</v>
      </c>
      <c r="E145" s="2" t="s">
        <v>42</v>
      </c>
      <c r="F145" s="2" t="s">
        <v>43</v>
      </c>
      <c r="G145" s="2" t="s">
        <v>154</v>
      </c>
      <c r="H145">
        <v>1</v>
      </c>
      <c r="I145">
        <v>3</v>
      </c>
      <c r="J145">
        <v>294.54000000000002</v>
      </c>
      <c r="K145">
        <v>0.08</v>
      </c>
      <c r="L145">
        <v>182</v>
      </c>
      <c r="M145">
        <v>883.62000000000012</v>
      </c>
      <c r="N145">
        <v>812.93040000000019</v>
      </c>
      <c r="O145">
        <v>546</v>
      </c>
      <c r="P145">
        <v>266.93040000000019</v>
      </c>
    </row>
    <row r="146" spans="1:16" x14ac:dyDescent="0.3">
      <c r="A146" s="1">
        <v>45689</v>
      </c>
      <c r="B146" s="2" t="s">
        <v>75</v>
      </c>
      <c r="C146" s="2" t="s">
        <v>106</v>
      </c>
      <c r="D146" s="2" t="s">
        <v>41</v>
      </c>
      <c r="E146" s="2" t="s">
        <v>42</v>
      </c>
      <c r="F146" s="2" t="s">
        <v>43</v>
      </c>
      <c r="G146" s="2" t="s">
        <v>155</v>
      </c>
      <c r="H146">
        <v>1</v>
      </c>
      <c r="I146">
        <v>2</v>
      </c>
      <c r="J146">
        <v>282.81</v>
      </c>
      <c r="K146">
        <v>0</v>
      </c>
      <c r="L146">
        <v>182</v>
      </c>
      <c r="M146">
        <v>565.62</v>
      </c>
      <c r="N146">
        <v>565.62</v>
      </c>
      <c r="O146">
        <v>364</v>
      </c>
      <c r="P146">
        <v>201.62</v>
      </c>
    </row>
    <row r="147" spans="1:16" x14ac:dyDescent="0.3">
      <c r="A147" s="1">
        <v>45689</v>
      </c>
      <c r="B147" s="2" t="s">
        <v>83</v>
      </c>
      <c r="C147" s="2" t="s">
        <v>84</v>
      </c>
      <c r="D147" s="2" t="s">
        <v>50</v>
      </c>
      <c r="E147" s="2" t="s">
        <v>47</v>
      </c>
      <c r="F147" s="2" t="s">
        <v>48</v>
      </c>
      <c r="G147" s="2" t="s">
        <v>91</v>
      </c>
      <c r="H147">
        <v>1</v>
      </c>
      <c r="I147">
        <v>2</v>
      </c>
      <c r="J147">
        <v>144.16</v>
      </c>
      <c r="K147">
        <v>0.1</v>
      </c>
      <c r="L147">
        <v>63</v>
      </c>
      <c r="M147">
        <v>288.32</v>
      </c>
      <c r="N147">
        <v>259.488</v>
      </c>
      <c r="O147">
        <v>126</v>
      </c>
      <c r="P147">
        <v>133.488</v>
      </c>
    </row>
    <row r="148" spans="1:16" x14ac:dyDescent="0.3">
      <c r="A148" s="1">
        <v>45689</v>
      </c>
      <c r="B148" s="2" t="s">
        <v>83</v>
      </c>
      <c r="C148" s="2" t="s">
        <v>126</v>
      </c>
      <c r="D148" s="2" t="s">
        <v>46</v>
      </c>
      <c r="E148" s="2" t="s">
        <v>47</v>
      </c>
      <c r="F148" s="2" t="s">
        <v>43</v>
      </c>
      <c r="G148" s="2" t="s">
        <v>127</v>
      </c>
      <c r="H148">
        <v>1</v>
      </c>
      <c r="I148">
        <v>4</v>
      </c>
      <c r="J148">
        <v>185.68</v>
      </c>
      <c r="K148">
        <v>0.05</v>
      </c>
      <c r="L148">
        <v>86</v>
      </c>
      <c r="M148">
        <v>742.72</v>
      </c>
      <c r="N148">
        <v>705.58399999999995</v>
      </c>
      <c r="O148">
        <v>344</v>
      </c>
      <c r="P148">
        <v>361.58399999999995</v>
      </c>
    </row>
    <row r="149" spans="1:16" x14ac:dyDescent="0.3">
      <c r="A149" s="1">
        <v>45689</v>
      </c>
      <c r="B149" s="2" t="s">
        <v>83</v>
      </c>
      <c r="C149" s="2" t="s">
        <v>126</v>
      </c>
      <c r="D149" s="2" t="s">
        <v>46</v>
      </c>
      <c r="E149" s="2" t="s">
        <v>47</v>
      </c>
      <c r="F149" s="2" t="s">
        <v>52</v>
      </c>
      <c r="G149" s="2" t="s">
        <v>127</v>
      </c>
      <c r="H149">
        <v>1</v>
      </c>
      <c r="I149">
        <v>3</v>
      </c>
      <c r="J149">
        <v>210.8</v>
      </c>
      <c r="K149">
        <v>0.1</v>
      </c>
      <c r="L149">
        <v>124</v>
      </c>
      <c r="M149">
        <v>632.40000000000009</v>
      </c>
      <c r="N149">
        <v>569.16000000000008</v>
      </c>
      <c r="O149">
        <v>372</v>
      </c>
      <c r="P149">
        <v>197.16000000000008</v>
      </c>
    </row>
    <row r="150" spans="1:16" x14ac:dyDescent="0.3">
      <c r="A150" s="1">
        <v>45689</v>
      </c>
      <c r="B150" s="2" t="s">
        <v>39</v>
      </c>
      <c r="C150" s="2" t="s">
        <v>78</v>
      </c>
      <c r="D150" s="2" t="s">
        <v>41</v>
      </c>
      <c r="E150" s="2" t="s">
        <v>42</v>
      </c>
      <c r="F150" s="2" t="s">
        <v>48</v>
      </c>
      <c r="G150" s="2" t="s">
        <v>156</v>
      </c>
      <c r="H150">
        <v>2</v>
      </c>
      <c r="I150">
        <v>24</v>
      </c>
      <c r="J150">
        <v>116.23</v>
      </c>
      <c r="K150">
        <v>0</v>
      </c>
      <c r="L150">
        <v>51</v>
      </c>
      <c r="M150">
        <v>3106.7999999999997</v>
      </c>
      <c r="N150">
        <v>3106.7999999999997</v>
      </c>
      <c r="O150">
        <v>1416</v>
      </c>
      <c r="P150">
        <v>1690.7999999999997</v>
      </c>
    </row>
    <row r="151" spans="1:16" x14ac:dyDescent="0.3">
      <c r="A151" s="1">
        <v>45689</v>
      </c>
      <c r="B151" s="2" t="s">
        <v>83</v>
      </c>
      <c r="C151" s="2" t="s">
        <v>84</v>
      </c>
      <c r="D151" s="2" t="s">
        <v>41</v>
      </c>
      <c r="E151" s="2" t="s">
        <v>42</v>
      </c>
      <c r="F151" s="2" t="s">
        <v>43</v>
      </c>
      <c r="G151" s="2" t="s">
        <v>157</v>
      </c>
      <c r="H151">
        <v>1</v>
      </c>
      <c r="I151">
        <v>2</v>
      </c>
      <c r="J151">
        <v>177</v>
      </c>
      <c r="K151">
        <v>0</v>
      </c>
      <c r="L151">
        <v>86</v>
      </c>
      <c r="M151">
        <v>354</v>
      </c>
      <c r="N151">
        <v>354</v>
      </c>
      <c r="O151">
        <v>172</v>
      </c>
      <c r="P151">
        <v>182</v>
      </c>
    </row>
    <row r="152" spans="1:16" x14ac:dyDescent="0.3">
      <c r="A152" s="1">
        <v>45689</v>
      </c>
      <c r="B152" s="2" t="s">
        <v>83</v>
      </c>
      <c r="C152" s="2" t="s">
        <v>84</v>
      </c>
      <c r="D152" s="2" t="s">
        <v>41</v>
      </c>
      <c r="E152" s="2" t="s">
        <v>42</v>
      </c>
      <c r="F152" s="2" t="s">
        <v>48</v>
      </c>
      <c r="G152" s="2" t="s">
        <v>157</v>
      </c>
      <c r="H152">
        <v>1</v>
      </c>
      <c r="I152">
        <v>1</v>
      </c>
      <c r="J152">
        <v>135.26</v>
      </c>
      <c r="K152">
        <v>0</v>
      </c>
      <c r="L152">
        <v>63</v>
      </c>
      <c r="M152">
        <v>135.26</v>
      </c>
      <c r="N152">
        <v>135.26</v>
      </c>
      <c r="O152">
        <v>63</v>
      </c>
      <c r="P152">
        <v>72.259999999999991</v>
      </c>
    </row>
    <row r="153" spans="1:16" x14ac:dyDescent="0.3">
      <c r="A153" s="1">
        <v>45689</v>
      </c>
      <c r="B153" s="2" t="s">
        <v>83</v>
      </c>
      <c r="C153" s="2" t="s">
        <v>84</v>
      </c>
      <c r="D153" s="2" t="s">
        <v>50</v>
      </c>
      <c r="E153" s="2" t="s">
        <v>47</v>
      </c>
      <c r="F153" s="2" t="s">
        <v>43</v>
      </c>
      <c r="G153" s="2" t="s">
        <v>91</v>
      </c>
      <c r="H153">
        <v>1</v>
      </c>
      <c r="I153">
        <v>3</v>
      </c>
      <c r="J153">
        <v>643.17999999999995</v>
      </c>
      <c r="K153">
        <v>0.05</v>
      </c>
      <c r="L153">
        <v>395</v>
      </c>
      <c r="M153">
        <v>1929.54</v>
      </c>
      <c r="N153">
        <v>1833.0629999999999</v>
      </c>
      <c r="O153">
        <v>1185</v>
      </c>
      <c r="P153">
        <v>648.06299999999987</v>
      </c>
    </row>
    <row r="154" spans="1:16" x14ac:dyDescent="0.3">
      <c r="A154" s="1">
        <v>45689</v>
      </c>
      <c r="B154" s="2" t="s">
        <v>39</v>
      </c>
      <c r="C154" s="2" t="s">
        <v>45</v>
      </c>
      <c r="D154" s="2" t="s">
        <v>158</v>
      </c>
      <c r="E154" s="2" t="s">
        <v>42</v>
      </c>
      <c r="F154" s="2" t="s">
        <v>48</v>
      </c>
      <c r="G154" s="2" t="s">
        <v>86</v>
      </c>
      <c r="H154">
        <v>1</v>
      </c>
      <c r="I154">
        <v>2</v>
      </c>
      <c r="J154">
        <v>139.62</v>
      </c>
      <c r="K154">
        <v>0</v>
      </c>
      <c r="L154">
        <v>63</v>
      </c>
      <c r="M154">
        <v>279.24</v>
      </c>
      <c r="N154">
        <v>279.24</v>
      </c>
      <c r="O154">
        <v>126</v>
      </c>
      <c r="P154">
        <v>153.24</v>
      </c>
    </row>
    <row r="155" spans="1:16" x14ac:dyDescent="0.3">
      <c r="A155" s="1">
        <v>45689</v>
      </c>
      <c r="B155" s="2" t="s">
        <v>39</v>
      </c>
      <c r="C155" s="2" t="s">
        <v>45</v>
      </c>
      <c r="D155" s="2" t="s">
        <v>158</v>
      </c>
      <c r="E155" s="2" t="s">
        <v>42</v>
      </c>
      <c r="F155" s="2" t="s">
        <v>43</v>
      </c>
      <c r="G155" s="2" t="s">
        <v>86</v>
      </c>
      <c r="H155">
        <v>2</v>
      </c>
      <c r="I155">
        <v>3</v>
      </c>
      <c r="J155">
        <v>1016.2900000000001</v>
      </c>
      <c r="K155">
        <v>7.5000000000000011E-2</v>
      </c>
      <c r="L155">
        <v>640</v>
      </c>
      <c r="M155">
        <v>2886.28</v>
      </c>
      <c r="N155">
        <v>2683.0219999999999</v>
      </c>
      <c r="O155">
        <v>1800</v>
      </c>
      <c r="P155">
        <v>883.02200000000016</v>
      </c>
    </row>
    <row r="156" spans="1:16" x14ac:dyDescent="0.3">
      <c r="A156" s="1">
        <v>45689</v>
      </c>
      <c r="B156" s="2" t="s">
        <v>39</v>
      </c>
      <c r="C156" s="2" t="s">
        <v>88</v>
      </c>
      <c r="D156" s="2" t="s">
        <v>50</v>
      </c>
      <c r="E156" s="2" t="s">
        <v>42</v>
      </c>
      <c r="F156" s="2" t="s">
        <v>48</v>
      </c>
      <c r="G156" s="2" t="s">
        <v>125</v>
      </c>
      <c r="H156">
        <v>1</v>
      </c>
      <c r="I156">
        <v>1</v>
      </c>
      <c r="J156">
        <v>74.53</v>
      </c>
      <c r="K156">
        <v>0.12</v>
      </c>
      <c r="L156">
        <v>31</v>
      </c>
      <c r="M156">
        <v>74.53</v>
      </c>
      <c r="N156">
        <v>65.586399999999998</v>
      </c>
      <c r="O156">
        <v>31</v>
      </c>
      <c r="P156">
        <v>34.586399999999998</v>
      </c>
    </row>
    <row r="157" spans="1:16" x14ac:dyDescent="0.3">
      <c r="A157" s="1">
        <v>45689</v>
      </c>
      <c r="B157" s="2" t="s">
        <v>39</v>
      </c>
      <c r="C157" s="2" t="s">
        <v>40</v>
      </c>
      <c r="D157" s="2" t="s">
        <v>41</v>
      </c>
      <c r="E157" s="2" t="s">
        <v>42</v>
      </c>
      <c r="F157" s="2" t="s">
        <v>52</v>
      </c>
      <c r="G157" s="2" t="s">
        <v>159</v>
      </c>
      <c r="H157">
        <v>1</v>
      </c>
      <c r="I157">
        <v>3</v>
      </c>
      <c r="J157">
        <v>44.36</v>
      </c>
      <c r="K157">
        <v>0</v>
      </c>
      <c r="L157">
        <v>18</v>
      </c>
      <c r="M157">
        <v>133.07999999999998</v>
      </c>
      <c r="N157">
        <v>133.07999999999998</v>
      </c>
      <c r="O157">
        <v>54</v>
      </c>
      <c r="P157">
        <v>79.079999999999984</v>
      </c>
    </row>
    <row r="158" spans="1:16" x14ac:dyDescent="0.3">
      <c r="A158" s="1">
        <v>45689</v>
      </c>
      <c r="B158" s="2" t="s">
        <v>56</v>
      </c>
      <c r="C158" s="2" t="s">
        <v>62</v>
      </c>
      <c r="D158" s="2" t="s">
        <v>41</v>
      </c>
      <c r="E158" s="2" t="s">
        <v>47</v>
      </c>
      <c r="F158" s="2" t="s">
        <v>43</v>
      </c>
      <c r="G158" s="2" t="s">
        <v>143</v>
      </c>
      <c r="H158">
        <v>3</v>
      </c>
      <c r="I158">
        <v>6</v>
      </c>
      <c r="J158">
        <v>483.04333333333335</v>
      </c>
      <c r="K158">
        <v>0</v>
      </c>
      <c r="L158">
        <v>292</v>
      </c>
      <c r="M158">
        <v>2898.26</v>
      </c>
      <c r="N158">
        <v>2898.26</v>
      </c>
      <c r="O158">
        <v>1752</v>
      </c>
      <c r="P158">
        <v>1146.2600000000002</v>
      </c>
    </row>
    <row r="159" spans="1:16" x14ac:dyDescent="0.3">
      <c r="A159" s="1">
        <v>45689</v>
      </c>
      <c r="B159" s="2" t="s">
        <v>39</v>
      </c>
      <c r="C159" s="2" t="s">
        <v>92</v>
      </c>
      <c r="D159" s="2" t="s">
        <v>46</v>
      </c>
      <c r="E159" s="2" t="s">
        <v>47</v>
      </c>
      <c r="F159" s="2" t="s">
        <v>43</v>
      </c>
      <c r="G159" s="2" t="s">
        <v>93</v>
      </c>
      <c r="H159">
        <v>1</v>
      </c>
      <c r="I159">
        <v>4</v>
      </c>
      <c r="J159">
        <v>628.21</v>
      </c>
      <c r="K159">
        <v>0.08</v>
      </c>
      <c r="L159">
        <v>395</v>
      </c>
      <c r="M159">
        <v>2512.84</v>
      </c>
      <c r="N159">
        <v>2311.8128000000002</v>
      </c>
      <c r="O159">
        <v>1580</v>
      </c>
      <c r="P159">
        <v>731.81280000000015</v>
      </c>
    </row>
    <row r="160" spans="1:16" x14ac:dyDescent="0.3">
      <c r="A160" s="1">
        <v>45689</v>
      </c>
      <c r="B160" s="2" t="s">
        <v>39</v>
      </c>
      <c r="C160" s="2" t="s">
        <v>54</v>
      </c>
      <c r="D160" s="2" t="s">
        <v>41</v>
      </c>
      <c r="E160" s="2" t="s">
        <v>47</v>
      </c>
      <c r="F160" s="2" t="s">
        <v>43</v>
      </c>
      <c r="G160" s="2" t="s">
        <v>86</v>
      </c>
      <c r="H160">
        <v>1</v>
      </c>
      <c r="I160">
        <v>1</v>
      </c>
      <c r="J160">
        <v>835</v>
      </c>
      <c r="K160">
        <v>0</v>
      </c>
      <c r="L160">
        <v>520</v>
      </c>
      <c r="M160">
        <v>835</v>
      </c>
      <c r="N160">
        <v>835</v>
      </c>
      <c r="O160">
        <v>520</v>
      </c>
      <c r="P160">
        <v>315</v>
      </c>
    </row>
    <row r="161" spans="1:16" x14ac:dyDescent="0.3">
      <c r="A161" s="1">
        <v>45689</v>
      </c>
      <c r="B161" s="2" t="s">
        <v>56</v>
      </c>
      <c r="C161" s="2" t="s">
        <v>57</v>
      </c>
      <c r="D161" s="2" t="s">
        <v>50</v>
      </c>
      <c r="E161" s="2" t="s">
        <v>47</v>
      </c>
      <c r="F161" s="2" t="s">
        <v>48</v>
      </c>
      <c r="G161" s="2" t="s">
        <v>150</v>
      </c>
      <c r="H161">
        <v>1</v>
      </c>
      <c r="I161">
        <v>5</v>
      </c>
      <c r="J161">
        <v>97.19</v>
      </c>
      <c r="K161">
        <v>0.1</v>
      </c>
      <c r="L161">
        <v>39</v>
      </c>
      <c r="M161">
        <v>485.95</v>
      </c>
      <c r="N161">
        <v>437.35500000000002</v>
      </c>
      <c r="O161">
        <v>195</v>
      </c>
      <c r="P161">
        <v>242.35500000000002</v>
      </c>
    </row>
    <row r="162" spans="1:16" x14ac:dyDescent="0.3">
      <c r="A162" s="1">
        <v>45689</v>
      </c>
      <c r="B162" s="2" t="s">
        <v>39</v>
      </c>
      <c r="C162" s="2" t="s">
        <v>40</v>
      </c>
      <c r="D162" s="2" t="s">
        <v>41</v>
      </c>
      <c r="E162" s="2" t="s">
        <v>42</v>
      </c>
      <c r="F162" s="2" t="s">
        <v>43</v>
      </c>
      <c r="G162" s="2" t="s">
        <v>144</v>
      </c>
      <c r="H162">
        <v>1</v>
      </c>
      <c r="I162">
        <v>2</v>
      </c>
      <c r="J162">
        <v>107.5</v>
      </c>
      <c r="K162">
        <v>0</v>
      </c>
      <c r="L162">
        <v>54</v>
      </c>
      <c r="M162">
        <v>215</v>
      </c>
      <c r="N162">
        <v>215</v>
      </c>
      <c r="O162">
        <v>108</v>
      </c>
      <c r="P162">
        <v>107</v>
      </c>
    </row>
    <row r="163" spans="1:16" x14ac:dyDescent="0.3">
      <c r="A163" s="1">
        <v>45689</v>
      </c>
      <c r="B163" s="2" t="s">
        <v>65</v>
      </c>
      <c r="C163" s="2" t="s">
        <v>66</v>
      </c>
      <c r="D163" s="2" t="s">
        <v>50</v>
      </c>
      <c r="E163" s="2" t="s">
        <v>42</v>
      </c>
      <c r="F163" s="2" t="s">
        <v>43</v>
      </c>
      <c r="G163" s="2" t="s">
        <v>74</v>
      </c>
      <c r="H163">
        <v>1</v>
      </c>
      <c r="I163">
        <v>1</v>
      </c>
      <c r="J163">
        <v>172.89</v>
      </c>
      <c r="K163">
        <v>0.05</v>
      </c>
      <c r="L163">
        <v>86</v>
      </c>
      <c r="M163">
        <v>172.89</v>
      </c>
      <c r="N163">
        <v>164.24549999999999</v>
      </c>
      <c r="O163">
        <v>86</v>
      </c>
      <c r="P163">
        <v>78.245499999999993</v>
      </c>
    </row>
    <row r="164" spans="1:16" x14ac:dyDescent="0.3">
      <c r="A164" s="1">
        <v>45689</v>
      </c>
      <c r="B164" s="2" t="s">
        <v>65</v>
      </c>
      <c r="C164" s="2" t="s">
        <v>66</v>
      </c>
      <c r="D164" s="2" t="s">
        <v>50</v>
      </c>
      <c r="E164" s="2" t="s">
        <v>42</v>
      </c>
      <c r="F164" s="2" t="s">
        <v>48</v>
      </c>
      <c r="G164" s="2" t="s">
        <v>74</v>
      </c>
      <c r="H164">
        <v>1</v>
      </c>
      <c r="I164">
        <v>3</v>
      </c>
      <c r="J164">
        <v>22.69</v>
      </c>
      <c r="K164">
        <v>0.08</v>
      </c>
      <c r="L164">
        <v>8</v>
      </c>
      <c r="M164">
        <v>68.070000000000007</v>
      </c>
      <c r="N164">
        <v>62.624400000000009</v>
      </c>
      <c r="O164">
        <v>24</v>
      </c>
      <c r="P164">
        <v>38.624400000000009</v>
      </c>
    </row>
    <row r="165" spans="1:16" x14ac:dyDescent="0.3">
      <c r="A165" s="1">
        <v>45689</v>
      </c>
      <c r="B165" s="2" t="s">
        <v>83</v>
      </c>
      <c r="C165" s="2" t="s">
        <v>84</v>
      </c>
      <c r="D165" s="2" t="s">
        <v>41</v>
      </c>
      <c r="E165" s="2" t="s">
        <v>51</v>
      </c>
      <c r="F165" s="2" t="s">
        <v>43</v>
      </c>
      <c r="G165" s="2" t="s">
        <v>160</v>
      </c>
      <c r="H165">
        <v>1</v>
      </c>
      <c r="I165">
        <v>10</v>
      </c>
      <c r="J165">
        <v>164.97</v>
      </c>
      <c r="K165">
        <v>0</v>
      </c>
      <c r="L165">
        <v>86</v>
      </c>
      <c r="M165">
        <v>1649.7</v>
      </c>
      <c r="N165">
        <v>1649.7</v>
      </c>
      <c r="O165">
        <v>860</v>
      </c>
      <c r="P165">
        <v>789.7</v>
      </c>
    </row>
    <row r="166" spans="1:16" x14ac:dyDescent="0.3">
      <c r="A166" s="1">
        <v>45689</v>
      </c>
      <c r="B166" s="2" t="s">
        <v>56</v>
      </c>
      <c r="C166" s="2" t="s">
        <v>62</v>
      </c>
      <c r="D166" s="2" t="s">
        <v>41</v>
      </c>
      <c r="E166" s="2" t="s">
        <v>42</v>
      </c>
      <c r="F166" s="2" t="s">
        <v>43</v>
      </c>
      <c r="G166" s="2" t="s">
        <v>161</v>
      </c>
      <c r="H166">
        <v>2</v>
      </c>
      <c r="I166">
        <v>5</v>
      </c>
      <c r="J166">
        <v>233.85499999999999</v>
      </c>
      <c r="K166">
        <v>0</v>
      </c>
      <c r="L166">
        <v>134</v>
      </c>
      <c r="M166">
        <v>1220.6299999999999</v>
      </c>
      <c r="N166">
        <v>1220.6299999999999</v>
      </c>
      <c r="O166">
        <v>718</v>
      </c>
      <c r="P166">
        <v>502.62999999999988</v>
      </c>
    </row>
    <row r="167" spans="1:16" x14ac:dyDescent="0.3">
      <c r="A167" s="1">
        <v>45689</v>
      </c>
      <c r="B167" s="2" t="s">
        <v>75</v>
      </c>
      <c r="C167" s="2" t="s">
        <v>101</v>
      </c>
      <c r="D167" s="2" t="s">
        <v>50</v>
      </c>
      <c r="E167" s="2" t="s">
        <v>47</v>
      </c>
      <c r="F167" s="2" t="s">
        <v>43</v>
      </c>
      <c r="G167" s="2" t="s">
        <v>162</v>
      </c>
      <c r="H167">
        <v>1</v>
      </c>
      <c r="I167">
        <v>2</v>
      </c>
      <c r="J167">
        <v>181.46</v>
      </c>
      <c r="K167">
        <v>0.12</v>
      </c>
      <c r="L167">
        <v>86</v>
      </c>
      <c r="M167">
        <v>362.92</v>
      </c>
      <c r="N167">
        <v>319.36959999999999</v>
      </c>
      <c r="O167">
        <v>172</v>
      </c>
      <c r="P167">
        <v>147.36959999999999</v>
      </c>
    </row>
    <row r="168" spans="1:16" x14ac:dyDescent="0.3">
      <c r="A168" s="1">
        <v>45689</v>
      </c>
      <c r="B168" s="2" t="s">
        <v>39</v>
      </c>
      <c r="C168" s="2" t="s">
        <v>78</v>
      </c>
      <c r="D168" s="2" t="s">
        <v>50</v>
      </c>
      <c r="E168" s="2" t="s">
        <v>47</v>
      </c>
      <c r="F168" s="2" t="s">
        <v>43</v>
      </c>
      <c r="G168" s="2" t="s">
        <v>163</v>
      </c>
      <c r="H168">
        <v>1</v>
      </c>
      <c r="I168">
        <v>2</v>
      </c>
      <c r="J168">
        <v>294.75</v>
      </c>
      <c r="K168">
        <v>0.08</v>
      </c>
      <c r="L168">
        <v>182</v>
      </c>
      <c r="M168">
        <v>589.5</v>
      </c>
      <c r="N168">
        <v>542.34</v>
      </c>
      <c r="O168">
        <v>364</v>
      </c>
      <c r="P168">
        <v>178.34000000000003</v>
      </c>
    </row>
    <row r="169" spans="1:16" x14ac:dyDescent="0.3">
      <c r="A169" s="1">
        <v>45689</v>
      </c>
      <c r="B169" s="2" t="s">
        <v>39</v>
      </c>
      <c r="C169" s="2" t="s">
        <v>78</v>
      </c>
      <c r="D169" s="2" t="s">
        <v>41</v>
      </c>
      <c r="E169" s="2" t="s">
        <v>42</v>
      </c>
      <c r="F169" s="2" t="s">
        <v>48</v>
      </c>
      <c r="G169" s="2" t="s">
        <v>108</v>
      </c>
      <c r="H169">
        <v>1</v>
      </c>
      <c r="I169">
        <v>3</v>
      </c>
      <c r="J169">
        <v>96.35</v>
      </c>
      <c r="K169">
        <v>0</v>
      </c>
      <c r="L169">
        <v>39</v>
      </c>
      <c r="M169">
        <v>289.04999999999995</v>
      </c>
      <c r="N169">
        <v>289.04999999999995</v>
      </c>
      <c r="O169">
        <v>117</v>
      </c>
      <c r="P169">
        <v>172.04999999999995</v>
      </c>
    </row>
    <row r="170" spans="1:16" x14ac:dyDescent="0.3">
      <c r="A170" s="1">
        <v>45689</v>
      </c>
      <c r="B170" s="2" t="s">
        <v>65</v>
      </c>
      <c r="C170" s="2" t="s">
        <v>66</v>
      </c>
      <c r="D170" s="2" t="s">
        <v>41</v>
      </c>
      <c r="E170" s="2" t="s">
        <v>42</v>
      </c>
      <c r="F170" s="2" t="s">
        <v>43</v>
      </c>
      <c r="G170" s="2" t="s">
        <v>68</v>
      </c>
      <c r="H170">
        <v>1</v>
      </c>
      <c r="I170">
        <v>1</v>
      </c>
      <c r="J170">
        <v>1198.76</v>
      </c>
      <c r="K170">
        <v>0</v>
      </c>
      <c r="L170">
        <v>760</v>
      </c>
      <c r="M170">
        <v>1198.76</v>
      </c>
      <c r="N170">
        <v>1198.76</v>
      </c>
      <c r="O170">
        <v>760</v>
      </c>
      <c r="P170">
        <v>438.76</v>
      </c>
    </row>
    <row r="171" spans="1:16" x14ac:dyDescent="0.3">
      <c r="A171" s="1">
        <v>45689</v>
      </c>
      <c r="B171" s="2" t="s">
        <v>65</v>
      </c>
      <c r="C171" s="2" t="s">
        <v>66</v>
      </c>
      <c r="D171" s="2" t="s">
        <v>41</v>
      </c>
      <c r="E171" s="2" t="s">
        <v>42</v>
      </c>
      <c r="F171" s="2" t="s">
        <v>48</v>
      </c>
      <c r="G171" s="2" t="s">
        <v>68</v>
      </c>
      <c r="H171">
        <v>2</v>
      </c>
      <c r="I171">
        <v>3</v>
      </c>
      <c r="J171">
        <v>23.439999999999998</v>
      </c>
      <c r="K171">
        <v>0.05</v>
      </c>
      <c r="L171">
        <v>8</v>
      </c>
      <c r="M171">
        <v>69.61</v>
      </c>
      <c r="N171">
        <v>66.129499999999993</v>
      </c>
      <c r="O171">
        <v>24</v>
      </c>
      <c r="P171">
        <v>42.129499999999993</v>
      </c>
    </row>
    <row r="172" spans="1:16" x14ac:dyDescent="0.3">
      <c r="A172" s="1">
        <v>45689</v>
      </c>
      <c r="B172" s="2" t="s">
        <v>39</v>
      </c>
      <c r="C172" s="2" t="s">
        <v>92</v>
      </c>
      <c r="D172" s="2" t="s">
        <v>50</v>
      </c>
      <c r="E172" s="2" t="s">
        <v>42</v>
      </c>
      <c r="F172" s="2" t="s">
        <v>43</v>
      </c>
      <c r="G172" s="2" t="s">
        <v>130</v>
      </c>
      <c r="H172">
        <v>1</v>
      </c>
      <c r="I172">
        <v>1</v>
      </c>
      <c r="J172">
        <v>1152.8800000000001</v>
      </c>
      <c r="K172">
        <v>0</v>
      </c>
      <c r="L172">
        <v>760</v>
      </c>
      <c r="M172">
        <v>1152.8800000000001</v>
      </c>
      <c r="N172">
        <v>1152.8800000000001</v>
      </c>
      <c r="O172">
        <v>760</v>
      </c>
      <c r="P172">
        <v>392.88000000000011</v>
      </c>
    </row>
    <row r="173" spans="1:16" x14ac:dyDescent="0.3">
      <c r="A173" s="1">
        <v>45689</v>
      </c>
      <c r="B173" s="2" t="s">
        <v>65</v>
      </c>
      <c r="C173" s="2" t="s">
        <v>66</v>
      </c>
      <c r="D173" s="2" t="s">
        <v>50</v>
      </c>
      <c r="E173" s="2" t="s">
        <v>47</v>
      </c>
      <c r="F173" s="2" t="s">
        <v>48</v>
      </c>
      <c r="G173" s="2" t="s">
        <v>103</v>
      </c>
      <c r="H173">
        <v>1</v>
      </c>
      <c r="I173">
        <v>6</v>
      </c>
      <c r="J173">
        <v>74.510000000000005</v>
      </c>
      <c r="K173">
        <v>0.08</v>
      </c>
      <c r="L173">
        <v>310</v>
      </c>
      <c r="M173">
        <v>447.06000000000006</v>
      </c>
      <c r="N173">
        <v>411.29520000000008</v>
      </c>
      <c r="O173">
        <v>1860</v>
      </c>
      <c r="P173">
        <v>-1448.7048</v>
      </c>
    </row>
    <row r="174" spans="1:16" x14ac:dyDescent="0.3">
      <c r="A174" s="1">
        <v>45689</v>
      </c>
      <c r="B174" s="2" t="s">
        <v>56</v>
      </c>
      <c r="C174" s="2" t="s">
        <v>62</v>
      </c>
      <c r="D174" s="2" t="s">
        <v>50</v>
      </c>
      <c r="E174" s="2" t="s">
        <v>51</v>
      </c>
      <c r="F174" s="2" t="s">
        <v>43</v>
      </c>
      <c r="G174" s="2" t="s">
        <v>139</v>
      </c>
      <c r="H174">
        <v>1</v>
      </c>
      <c r="I174">
        <v>7</v>
      </c>
      <c r="J174">
        <v>96.72</v>
      </c>
      <c r="K174">
        <v>0.08</v>
      </c>
      <c r="L174">
        <v>54</v>
      </c>
      <c r="M174">
        <v>677.04</v>
      </c>
      <c r="N174">
        <v>622.8768</v>
      </c>
      <c r="O174">
        <v>378</v>
      </c>
      <c r="P174">
        <v>244.8768</v>
      </c>
    </row>
    <row r="175" spans="1:16" x14ac:dyDescent="0.3">
      <c r="A175" s="1">
        <v>45689</v>
      </c>
      <c r="B175" s="2" t="s">
        <v>83</v>
      </c>
      <c r="C175" s="2" t="s">
        <v>164</v>
      </c>
      <c r="D175" s="2" t="s">
        <v>50</v>
      </c>
      <c r="E175" s="2" t="s">
        <v>47</v>
      </c>
      <c r="F175" s="2" t="s">
        <v>48</v>
      </c>
      <c r="G175" s="2" t="s">
        <v>165</v>
      </c>
      <c r="H175">
        <v>1</v>
      </c>
      <c r="I175">
        <v>2</v>
      </c>
      <c r="J175">
        <v>143.46</v>
      </c>
      <c r="K175">
        <v>0.1</v>
      </c>
      <c r="L175">
        <v>63</v>
      </c>
      <c r="M175">
        <v>286.92</v>
      </c>
      <c r="N175">
        <v>258.22800000000001</v>
      </c>
      <c r="O175">
        <v>126</v>
      </c>
      <c r="P175">
        <v>132.22800000000001</v>
      </c>
    </row>
    <row r="176" spans="1:16" x14ac:dyDescent="0.3">
      <c r="A176" s="1">
        <v>45689</v>
      </c>
      <c r="B176" s="2" t="s">
        <v>39</v>
      </c>
      <c r="C176" s="2" t="s">
        <v>45</v>
      </c>
      <c r="D176" s="2" t="s">
        <v>41</v>
      </c>
      <c r="E176" s="2" t="s">
        <v>51</v>
      </c>
      <c r="F176" s="2" t="s">
        <v>43</v>
      </c>
      <c r="G176" s="2" t="s">
        <v>129</v>
      </c>
      <c r="H176">
        <v>1</v>
      </c>
      <c r="I176">
        <v>4</v>
      </c>
      <c r="J176">
        <v>94.75</v>
      </c>
      <c r="K176">
        <v>0.05</v>
      </c>
      <c r="L176">
        <v>54</v>
      </c>
      <c r="M176">
        <v>379</v>
      </c>
      <c r="N176">
        <v>360.05</v>
      </c>
      <c r="O176">
        <v>216</v>
      </c>
      <c r="P176">
        <v>144.05000000000001</v>
      </c>
    </row>
    <row r="177" spans="1:16" x14ac:dyDescent="0.3">
      <c r="A177" s="1">
        <v>45689</v>
      </c>
      <c r="B177" s="2" t="s">
        <v>39</v>
      </c>
      <c r="C177" s="2" t="s">
        <v>92</v>
      </c>
      <c r="D177" s="2" t="s">
        <v>46</v>
      </c>
      <c r="E177" s="2" t="s">
        <v>47</v>
      </c>
      <c r="F177" s="2" t="s">
        <v>52</v>
      </c>
      <c r="G177" s="2" t="s">
        <v>166</v>
      </c>
      <c r="H177">
        <v>1</v>
      </c>
      <c r="I177">
        <v>2</v>
      </c>
      <c r="J177">
        <v>43.58</v>
      </c>
      <c r="K177">
        <v>0.1</v>
      </c>
      <c r="L177">
        <v>18</v>
      </c>
      <c r="M177">
        <v>87.16</v>
      </c>
      <c r="N177">
        <v>78.444000000000003</v>
      </c>
      <c r="O177">
        <v>36</v>
      </c>
      <c r="P177">
        <v>42.444000000000003</v>
      </c>
    </row>
    <row r="178" spans="1:16" x14ac:dyDescent="0.3">
      <c r="A178" s="1">
        <v>45689</v>
      </c>
      <c r="B178" s="2" t="s">
        <v>56</v>
      </c>
      <c r="C178" s="2" t="s">
        <v>57</v>
      </c>
      <c r="D178" s="2" t="s">
        <v>50</v>
      </c>
      <c r="E178" s="2" t="s">
        <v>42</v>
      </c>
      <c r="F178" s="2" t="s">
        <v>48</v>
      </c>
      <c r="G178" s="2" t="s">
        <v>100</v>
      </c>
      <c r="H178">
        <v>1</v>
      </c>
      <c r="I178">
        <v>1</v>
      </c>
      <c r="J178">
        <v>89.5</v>
      </c>
      <c r="K178">
        <v>0.05</v>
      </c>
      <c r="L178">
        <v>39</v>
      </c>
      <c r="M178">
        <v>89.5</v>
      </c>
      <c r="N178">
        <v>85.024999999999991</v>
      </c>
      <c r="O178">
        <v>39</v>
      </c>
      <c r="P178">
        <v>46.024999999999991</v>
      </c>
    </row>
    <row r="179" spans="1:16" x14ac:dyDescent="0.3">
      <c r="A179" s="1">
        <v>45689</v>
      </c>
      <c r="B179" s="2" t="s">
        <v>39</v>
      </c>
      <c r="C179" s="2" t="s">
        <v>40</v>
      </c>
      <c r="D179" s="2" t="s">
        <v>46</v>
      </c>
      <c r="E179" s="2" t="s">
        <v>47</v>
      </c>
      <c r="F179" s="2" t="s">
        <v>43</v>
      </c>
      <c r="G179" s="2" t="s">
        <v>167</v>
      </c>
      <c r="H179">
        <v>2</v>
      </c>
      <c r="I179">
        <v>5</v>
      </c>
      <c r="J179">
        <v>676.255</v>
      </c>
      <c r="K179">
        <v>0.1</v>
      </c>
      <c r="L179">
        <v>423</v>
      </c>
      <c r="M179">
        <v>1888.8200000000002</v>
      </c>
      <c r="N179">
        <v>1699.9380000000001</v>
      </c>
      <c r="O179">
        <v>1104</v>
      </c>
      <c r="P179">
        <v>595.93799999999999</v>
      </c>
    </row>
    <row r="180" spans="1:16" x14ac:dyDescent="0.3">
      <c r="A180" s="1">
        <v>45689</v>
      </c>
      <c r="B180" s="2" t="s">
        <v>39</v>
      </c>
      <c r="C180" s="2" t="s">
        <v>40</v>
      </c>
      <c r="D180" s="2" t="s">
        <v>46</v>
      </c>
      <c r="E180" s="2" t="s">
        <v>47</v>
      </c>
      <c r="F180" s="2" t="s">
        <v>48</v>
      </c>
      <c r="G180" s="2" t="s">
        <v>167</v>
      </c>
      <c r="H180">
        <v>1</v>
      </c>
      <c r="I180">
        <v>3</v>
      </c>
      <c r="J180">
        <v>141.38999999999999</v>
      </c>
      <c r="K180">
        <v>0.1</v>
      </c>
      <c r="L180">
        <v>63</v>
      </c>
      <c r="M180">
        <v>424.16999999999996</v>
      </c>
      <c r="N180">
        <v>381.75299999999999</v>
      </c>
      <c r="O180">
        <v>189</v>
      </c>
      <c r="P180">
        <v>192.75299999999999</v>
      </c>
    </row>
    <row r="181" spans="1:16" x14ac:dyDescent="0.3">
      <c r="A181" s="1">
        <v>45689</v>
      </c>
      <c r="B181" s="2" t="s">
        <v>39</v>
      </c>
      <c r="C181" s="2" t="s">
        <v>88</v>
      </c>
      <c r="D181" s="2" t="s">
        <v>50</v>
      </c>
      <c r="E181" s="2" t="s">
        <v>42</v>
      </c>
      <c r="F181" s="2" t="s">
        <v>48</v>
      </c>
      <c r="G181" s="2" t="s">
        <v>133</v>
      </c>
      <c r="H181">
        <v>1</v>
      </c>
      <c r="I181">
        <v>1</v>
      </c>
      <c r="J181">
        <v>69.900000000000006</v>
      </c>
      <c r="K181">
        <v>0.12</v>
      </c>
      <c r="L181">
        <v>31</v>
      </c>
      <c r="M181">
        <v>69.900000000000006</v>
      </c>
      <c r="N181">
        <v>61.512000000000008</v>
      </c>
      <c r="O181">
        <v>31</v>
      </c>
      <c r="P181">
        <v>30.512000000000008</v>
      </c>
    </row>
    <row r="182" spans="1:16" x14ac:dyDescent="0.3">
      <c r="A182" s="1">
        <v>45689</v>
      </c>
      <c r="B182" s="2" t="s">
        <v>39</v>
      </c>
      <c r="C182" s="2" t="s">
        <v>88</v>
      </c>
      <c r="D182" s="2" t="s">
        <v>50</v>
      </c>
      <c r="E182" s="2" t="s">
        <v>42</v>
      </c>
      <c r="F182" s="2" t="s">
        <v>43</v>
      </c>
      <c r="G182" s="2" t="s">
        <v>133</v>
      </c>
      <c r="H182">
        <v>1</v>
      </c>
      <c r="I182">
        <v>3</v>
      </c>
      <c r="J182">
        <v>108.52</v>
      </c>
      <c r="K182">
        <v>0.12</v>
      </c>
      <c r="L182">
        <v>54</v>
      </c>
      <c r="M182">
        <v>325.56</v>
      </c>
      <c r="N182">
        <v>286.49279999999999</v>
      </c>
      <c r="O182">
        <v>162</v>
      </c>
      <c r="P182">
        <v>124.49279999999999</v>
      </c>
    </row>
    <row r="183" spans="1:16" x14ac:dyDescent="0.3">
      <c r="A183" s="1">
        <v>45689</v>
      </c>
      <c r="B183" s="2" t="s">
        <v>39</v>
      </c>
      <c r="C183" s="2" t="s">
        <v>54</v>
      </c>
      <c r="D183" s="2" t="s">
        <v>41</v>
      </c>
      <c r="E183" s="2" t="s">
        <v>42</v>
      </c>
      <c r="F183" s="2" t="s">
        <v>48</v>
      </c>
      <c r="G183" s="2" t="s">
        <v>168</v>
      </c>
      <c r="H183">
        <v>1</v>
      </c>
      <c r="I183">
        <v>2</v>
      </c>
      <c r="J183">
        <v>90.07</v>
      </c>
      <c r="K183">
        <v>0</v>
      </c>
      <c r="L183">
        <v>39</v>
      </c>
      <c r="M183">
        <v>180.14</v>
      </c>
      <c r="N183">
        <v>180.14</v>
      </c>
      <c r="O183">
        <v>78</v>
      </c>
      <c r="P183">
        <v>102.13999999999999</v>
      </c>
    </row>
    <row r="184" spans="1:16" x14ac:dyDescent="0.3">
      <c r="A184" s="1">
        <v>45689</v>
      </c>
      <c r="B184" s="2" t="s">
        <v>39</v>
      </c>
      <c r="C184" s="2" t="s">
        <v>40</v>
      </c>
      <c r="D184" s="2" t="s">
        <v>41</v>
      </c>
      <c r="E184" s="2" t="s">
        <v>47</v>
      </c>
      <c r="F184" s="2" t="s">
        <v>48</v>
      </c>
      <c r="G184" s="2" t="s">
        <v>64</v>
      </c>
      <c r="H184">
        <v>3</v>
      </c>
      <c r="I184">
        <v>14</v>
      </c>
      <c r="J184">
        <v>89.873333333333335</v>
      </c>
      <c r="K184">
        <v>0</v>
      </c>
      <c r="L184">
        <v>36.333333333333336</v>
      </c>
      <c r="M184">
        <v>1273.24</v>
      </c>
      <c r="N184">
        <v>1273.24</v>
      </c>
      <c r="O184">
        <v>514</v>
      </c>
      <c r="P184">
        <v>759.24</v>
      </c>
    </row>
    <row r="185" spans="1:16" x14ac:dyDescent="0.3">
      <c r="A185" s="1">
        <v>45689</v>
      </c>
      <c r="B185" s="2" t="s">
        <v>56</v>
      </c>
      <c r="C185" s="2" t="s">
        <v>57</v>
      </c>
      <c r="D185" s="2" t="s">
        <v>50</v>
      </c>
      <c r="E185" s="2" t="s">
        <v>47</v>
      </c>
      <c r="F185" s="2" t="s">
        <v>52</v>
      </c>
      <c r="G185" s="2" t="s">
        <v>147</v>
      </c>
      <c r="H185">
        <v>1</v>
      </c>
      <c r="I185">
        <v>10</v>
      </c>
      <c r="J185">
        <v>215.69</v>
      </c>
      <c r="K185">
        <v>0.12</v>
      </c>
      <c r="L185">
        <v>124</v>
      </c>
      <c r="M185">
        <v>2156.9</v>
      </c>
      <c r="N185">
        <v>1898.0720000000001</v>
      </c>
      <c r="O185">
        <v>1240</v>
      </c>
      <c r="P185">
        <v>658.07200000000012</v>
      </c>
    </row>
    <row r="186" spans="1:16" x14ac:dyDescent="0.3">
      <c r="A186" s="1">
        <v>45689</v>
      </c>
      <c r="B186" s="2" t="s">
        <v>39</v>
      </c>
      <c r="C186" s="2" t="s">
        <v>92</v>
      </c>
      <c r="D186" s="2" t="s">
        <v>46</v>
      </c>
      <c r="E186" s="2" t="s">
        <v>42</v>
      </c>
      <c r="F186" s="2" t="s">
        <v>48</v>
      </c>
      <c r="G186" s="2" t="s">
        <v>169</v>
      </c>
      <c r="H186">
        <v>1</v>
      </c>
      <c r="I186">
        <v>3</v>
      </c>
      <c r="J186">
        <v>137.13</v>
      </c>
      <c r="K186">
        <v>0.12</v>
      </c>
      <c r="L186">
        <v>63</v>
      </c>
      <c r="M186">
        <v>411.39</v>
      </c>
      <c r="N186">
        <v>362.02319999999997</v>
      </c>
      <c r="O186">
        <v>189</v>
      </c>
      <c r="P186">
        <v>173.02319999999997</v>
      </c>
    </row>
    <row r="187" spans="1:16" x14ac:dyDescent="0.3">
      <c r="A187" s="1">
        <v>45689</v>
      </c>
      <c r="B187" s="2" t="s">
        <v>75</v>
      </c>
      <c r="C187" s="2" t="s">
        <v>76</v>
      </c>
      <c r="D187" s="2" t="s">
        <v>46</v>
      </c>
      <c r="E187" s="2" t="s">
        <v>47</v>
      </c>
      <c r="F187" s="2" t="s">
        <v>52</v>
      </c>
      <c r="G187" s="2" t="s">
        <v>77</v>
      </c>
      <c r="H187">
        <v>1</v>
      </c>
      <c r="I187">
        <v>2</v>
      </c>
      <c r="J187">
        <v>44.78</v>
      </c>
      <c r="K187">
        <v>0.08</v>
      </c>
      <c r="L187">
        <v>18</v>
      </c>
      <c r="M187">
        <v>89.56</v>
      </c>
      <c r="N187">
        <v>82.395200000000003</v>
      </c>
      <c r="O187">
        <v>36</v>
      </c>
      <c r="P187">
        <v>46.395200000000003</v>
      </c>
    </row>
    <row r="188" spans="1:16" x14ac:dyDescent="0.3">
      <c r="A188" s="1">
        <v>45689</v>
      </c>
      <c r="B188" s="2" t="s">
        <v>39</v>
      </c>
      <c r="C188" s="2" t="s">
        <v>54</v>
      </c>
      <c r="D188" s="2" t="s">
        <v>50</v>
      </c>
      <c r="E188" s="2" t="s">
        <v>42</v>
      </c>
      <c r="F188" s="2" t="s">
        <v>43</v>
      </c>
      <c r="G188" s="2" t="s">
        <v>94</v>
      </c>
      <c r="H188">
        <v>2</v>
      </c>
      <c r="I188">
        <v>6</v>
      </c>
      <c r="J188">
        <v>174.77</v>
      </c>
      <c r="K188">
        <v>0.1</v>
      </c>
      <c r="L188">
        <v>86</v>
      </c>
      <c r="M188">
        <v>1048.6200000000001</v>
      </c>
      <c r="N188">
        <v>943.75800000000015</v>
      </c>
      <c r="O188">
        <v>516</v>
      </c>
      <c r="P188">
        <v>427.75800000000015</v>
      </c>
    </row>
    <row r="189" spans="1:16" x14ac:dyDescent="0.3">
      <c r="A189" s="1">
        <v>45689</v>
      </c>
      <c r="B189" s="2" t="s">
        <v>39</v>
      </c>
      <c r="C189" s="2" t="s">
        <v>45</v>
      </c>
      <c r="D189" s="2" t="s">
        <v>41</v>
      </c>
      <c r="E189" s="2" t="s">
        <v>47</v>
      </c>
      <c r="F189" s="2" t="s">
        <v>48</v>
      </c>
      <c r="G189" s="2" t="s">
        <v>170</v>
      </c>
      <c r="H189">
        <v>1</v>
      </c>
      <c r="I189">
        <v>4</v>
      </c>
      <c r="J189">
        <v>96.81</v>
      </c>
      <c r="K189">
        <v>0.05</v>
      </c>
      <c r="L189">
        <v>39</v>
      </c>
      <c r="M189">
        <v>387.24</v>
      </c>
      <c r="N189">
        <v>367.87799999999999</v>
      </c>
      <c r="O189">
        <v>156</v>
      </c>
      <c r="P189">
        <v>211.87799999999999</v>
      </c>
    </row>
    <row r="190" spans="1:16" x14ac:dyDescent="0.3">
      <c r="A190" s="1">
        <v>45689</v>
      </c>
      <c r="B190" s="2" t="s">
        <v>39</v>
      </c>
      <c r="C190" s="2" t="s">
        <v>45</v>
      </c>
      <c r="D190" s="2" t="s">
        <v>41</v>
      </c>
      <c r="E190" s="2" t="s">
        <v>42</v>
      </c>
      <c r="F190" s="2" t="s">
        <v>48</v>
      </c>
      <c r="G190" s="2" t="s">
        <v>87</v>
      </c>
      <c r="H190">
        <v>1</v>
      </c>
      <c r="I190">
        <v>1</v>
      </c>
      <c r="J190">
        <v>70.16</v>
      </c>
      <c r="K190">
        <v>0</v>
      </c>
      <c r="L190">
        <v>31</v>
      </c>
      <c r="M190">
        <v>70.16</v>
      </c>
      <c r="N190">
        <v>70.16</v>
      </c>
      <c r="O190">
        <v>31</v>
      </c>
      <c r="P190">
        <v>39.159999999999997</v>
      </c>
    </row>
    <row r="191" spans="1:16" x14ac:dyDescent="0.3">
      <c r="A191" s="1">
        <v>45689</v>
      </c>
      <c r="B191" s="2" t="s">
        <v>39</v>
      </c>
      <c r="C191" s="2" t="s">
        <v>45</v>
      </c>
      <c r="D191" s="2" t="s">
        <v>41</v>
      </c>
      <c r="E191" s="2" t="s">
        <v>42</v>
      </c>
      <c r="F191" s="2" t="s">
        <v>52</v>
      </c>
      <c r="G191" s="2" t="s">
        <v>87</v>
      </c>
      <c r="H191">
        <v>1</v>
      </c>
      <c r="I191">
        <v>1</v>
      </c>
      <c r="J191">
        <v>216.01</v>
      </c>
      <c r="K191">
        <v>0</v>
      </c>
      <c r="L191">
        <v>124</v>
      </c>
      <c r="M191">
        <v>216.01</v>
      </c>
      <c r="N191">
        <v>216.01</v>
      </c>
      <c r="O191">
        <v>124</v>
      </c>
      <c r="P191">
        <v>92.009999999999991</v>
      </c>
    </row>
    <row r="192" spans="1:16" x14ac:dyDescent="0.3">
      <c r="A192" s="1">
        <v>45689</v>
      </c>
      <c r="B192" s="2" t="s">
        <v>39</v>
      </c>
      <c r="C192" s="2" t="s">
        <v>54</v>
      </c>
      <c r="D192" s="2" t="s">
        <v>41</v>
      </c>
      <c r="E192" s="2" t="s">
        <v>51</v>
      </c>
      <c r="F192" s="2" t="s">
        <v>43</v>
      </c>
      <c r="G192" s="2" t="s">
        <v>171</v>
      </c>
      <c r="H192">
        <v>1</v>
      </c>
      <c r="I192">
        <v>7</v>
      </c>
      <c r="J192">
        <v>1092.1300000000001</v>
      </c>
      <c r="K192">
        <v>0</v>
      </c>
      <c r="L192">
        <v>760</v>
      </c>
      <c r="M192">
        <v>7644.9100000000008</v>
      </c>
      <c r="N192">
        <v>7644.9100000000008</v>
      </c>
      <c r="O192">
        <v>5320</v>
      </c>
      <c r="P192">
        <v>2324.9100000000008</v>
      </c>
    </row>
    <row r="193" spans="1:16" x14ac:dyDescent="0.3">
      <c r="A193" s="1">
        <v>45689</v>
      </c>
      <c r="B193" s="2" t="s">
        <v>39</v>
      </c>
      <c r="C193" s="2" t="s">
        <v>40</v>
      </c>
      <c r="D193" s="2" t="s">
        <v>46</v>
      </c>
      <c r="E193" s="2" t="s">
        <v>42</v>
      </c>
      <c r="F193" s="2" t="s">
        <v>43</v>
      </c>
      <c r="G193" s="2" t="s">
        <v>141</v>
      </c>
      <c r="H193">
        <v>1</v>
      </c>
      <c r="I193">
        <v>3</v>
      </c>
      <c r="J193">
        <v>293.45999999999998</v>
      </c>
      <c r="K193">
        <v>0.05</v>
      </c>
      <c r="L193">
        <v>182</v>
      </c>
      <c r="M193">
        <v>880.37999999999988</v>
      </c>
      <c r="N193">
        <v>836.36099999999988</v>
      </c>
      <c r="O193">
        <v>546</v>
      </c>
      <c r="P193">
        <v>290.36099999999988</v>
      </c>
    </row>
    <row r="194" spans="1:16" x14ac:dyDescent="0.3">
      <c r="A194" s="1">
        <v>45689</v>
      </c>
      <c r="B194" s="2" t="s">
        <v>75</v>
      </c>
      <c r="C194" s="2" t="s">
        <v>106</v>
      </c>
      <c r="D194" s="2" t="s">
        <v>46</v>
      </c>
      <c r="E194" s="2" t="s">
        <v>42</v>
      </c>
      <c r="F194" s="2" t="s">
        <v>52</v>
      </c>
      <c r="G194" s="2" t="s">
        <v>107</v>
      </c>
      <c r="H194">
        <v>1</v>
      </c>
      <c r="I194">
        <v>1</v>
      </c>
      <c r="J194">
        <v>214.93</v>
      </c>
      <c r="K194">
        <v>0.1</v>
      </c>
      <c r="L194">
        <v>124</v>
      </c>
      <c r="M194">
        <v>214.93</v>
      </c>
      <c r="N194">
        <v>193.43700000000001</v>
      </c>
      <c r="O194">
        <v>124</v>
      </c>
      <c r="P194">
        <v>69.437000000000012</v>
      </c>
    </row>
    <row r="195" spans="1:16" x14ac:dyDescent="0.3">
      <c r="A195" s="1">
        <v>45689</v>
      </c>
      <c r="B195" s="2" t="s">
        <v>39</v>
      </c>
      <c r="C195" s="2" t="s">
        <v>45</v>
      </c>
      <c r="D195" s="2" t="s">
        <v>41</v>
      </c>
      <c r="E195" s="2" t="s">
        <v>42</v>
      </c>
      <c r="F195" s="2" t="s">
        <v>48</v>
      </c>
      <c r="G195" s="2" t="s">
        <v>170</v>
      </c>
      <c r="H195">
        <v>1</v>
      </c>
      <c r="I195">
        <v>1</v>
      </c>
      <c r="J195">
        <v>71.849999999999994</v>
      </c>
      <c r="K195">
        <v>0</v>
      </c>
      <c r="L195">
        <v>31</v>
      </c>
      <c r="M195">
        <v>71.849999999999994</v>
      </c>
      <c r="N195">
        <v>71.849999999999994</v>
      </c>
      <c r="O195">
        <v>31</v>
      </c>
      <c r="P195">
        <v>40.849999999999994</v>
      </c>
    </row>
    <row r="196" spans="1:16" x14ac:dyDescent="0.3">
      <c r="A196" s="1">
        <v>45689</v>
      </c>
      <c r="B196" s="2" t="s">
        <v>56</v>
      </c>
      <c r="C196" s="2" t="s">
        <v>72</v>
      </c>
      <c r="D196" s="2" t="s">
        <v>46</v>
      </c>
      <c r="E196" s="2" t="s">
        <v>51</v>
      </c>
      <c r="F196" s="2" t="s">
        <v>52</v>
      </c>
      <c r="G196" s="2" t="s">
        <v>172</v>
      </c>
      <c r="H196">
        <v>3</v>
      </c>
      <c r="I196">
        <v>16</v>
      </c>
      <c r="J196">
        <v>89.306666666666672</v>
      </c>
      <c r="K196">
        <v>8.3333333333333343E-2</v>
      </c>
      <c r="L196">
        <v>53.333333333333336</v>
      </c>
      <c r="M196">
        <v>1081.4699999999998</v>
      </c>
      <c r="N196">
        <v>977.98739999999998</v>
      </c>
      <c r="O196">
        <v>606</v>
      </c>
      <c r="P196">
        <v>371.98739999999998</v>
      </c>
    </row>
    <row r="197" spans="1:16" x14ac:dyDescent="0.3">
      <c r="A197" s="1">
        <v>45689</v>
      </c>
      <c r="B197" s="2" t="s">
        <v>39</v>
      </c>
      <c r="C197" s="2" t="s">
        <v>92</v>
      </c>
      <c r="D197" s="2" t="s">
        <v>50</v>
      </c>
      <c r="E197" s="2" t="s">
        <v>42</v>
      </c>
      <c r="F197" s="2" t="s">
        <v>43</v>
      </c>
      <c r="G197" s="2" t="s">
        <v>160</v>
      </c>
      <c r="H197">
        <v>1</v>
      </c>
      <c r="I197">
        <v>2</v>
      </c>
      <c r="J197">
        <v>287.3</v>
      </c>
      <c r="K197">
        <v>0</v>
      </c>
      <c r="L197">
        <v>182</v>
      </c>
      <c r="M197">
        <v>574.6</v>
      </c>
      <c r="N197">
        <v>574.6</v>
      </c>
      <c r="O197">
        <v>364</v>
      </c>
      <c r="P197">
        <v>210.60000000000002</v>
      </c>
    </row>
    <row r="198" spans="1:16" x14ac:dyDescent="0.3">
      <c r="A198" s="1">
        <v>45689</v>
      </c>
      <c r="B198" s="2" t="s">
        <v>39</v>
      </c>
      <c r="C198" s="2" t="s">
        <v>88</v>
      </c>
      <c r="D198" s="2" t="s">
        <v>41</v>
      </c>
      <c r="E198" s="2" t="s">
        <v>47</v>
      </c>
      <c r="F198" s="2" t="s">
        <v>48</v>
      </c>
      <c r="G198" s="2" t="s">
        <v>136</v>
      </c>
      <c r="H198">
        <v>2</v>
      </c>
      <c r="I198">
        <v>11</v>
      </c>
      <c r="J198">
        <v>59.784999999999997</v>
      </c>
      <c r="K198">
        <v>0.05</v>
      </c>
      <c r="L198">
        <v>23.5</v>
      </c>
      <c r="M198">
        <v>693.72</v>
      </c>
      <c r="N198">
        <v>636.19800000000009</v>
      </c>
      <c r="O198">
        <v>274</v>
      </c>
      <c r="P198">
        <v>362.19800000000009</v>
      </c>
    </row>
    <row r="199" spans="1:16" x14ac:dyDescent="0.3">
      <c r="A199" s="1">
        <v>45689</v>
      </c>
      <c r="B199" s="2" t="s">
        <v>65</v>
      </c>
      <c r="C199" s="2" t="s">
        <v>66</v>
      </c>
      <c r="D199" s="2" t="s">
        <v>41</v>
      </c>
      <c r="E199" s="2" t="s">
        <v>47</v>
      </c>
      <c r="F199" s="2" t="s">
        <v>43</v>
      </c>
      <c r="G199" s="2" t="s">
        <v>67</v>
      </c>
      <c r="H199">
        <v>1</v>
      </c>
      <c r="I199">
        <v>3</v>
      </c>
      <c r="J199">
        <v>837.66</v>
      </c>
      <c r="K199">
        <v>0</v>
      </c>
      <c r="L199">
        <v>520</v>
      </c>
      <c r="M199">
        <v>2512.98</v>
      </c>
      <c r="N199">
        <v>2512.98</v>
      </c>
      <c r="O199">
        <v>1560</v>
      </c>
      <c r="P199">
        <v>952.98</v>
      </c>
    </row>
    <row r="200" spans="1:16" x14ac:dyDescent="0.3">
      <c r="A200" s="1">
        <v>45689</v>
      </c>
      <c r="B200" s="2" t="s">
        <v>39</v>
      </c>
      <c r="C200" s="2" t="s">
        <v>88</v>
      </c>
      <c r="D200" s="2" t="s">
        <v>50</v>
      </c>
      <c r="E200" s="2" t="s">
        <v>42</v>
      </c>
      <c r="F200" s="2" t="s">
        <v>52</v>
      </c>
      <c r="G200" s="2" t="s">
        <v>173</v>
      </c>
      <c r="H200">
        <v>1</v>
      </c>
      <c r="I200">
        <v>1</v>
      </c>
      <c r="J200">
        <v>204.92</v>
      </c>
      <c r="K200">
        <v>0.05</v>
      </c>
      <c r="L200">
        <v>124</v>
      </c>
      <c r="M200">
        <v>204.92</v>
      </c>
      <c r="N200">
        <v>194.67399999999998</v>
      </c>
      <c r="O200">
        <v>124</v>
      </c>
      <c r="P200">
        <v>70.673999999999978</v>
      </c>
    </row>
    <row r="201" spans="1:16" x14ac:dyDescent="0.3">
      <c r="A201" s="1">
        <v>45689</v>
      </c>
      <c r="B201" s="2" t="s">
        <v>56</v>
      </c>
      <c r="C201" s="2" t="s">
        <v>57</v>
      </c>
      <c r="D201" s="2" t="s">
        <v>50</v>
      </c>
      <c r="E201" s="2" t="s">
        <v>47</v>
      </c>
      <c r="F201" s="2" t="s">
        <v>43</v>
      </c>
      <c r="G201" s="2" t="s">
        <v>147</v>
      </c>
      <c r="H201">
        <v>1</v>
      </c>
      <c r="I201">
        <v>4</v>
      </c>
      <c r="J201">
        <v>882.57</v>
      </c>
      <c r="K201">
        <v>0.1</v>
      </c>
      <c r="L201">
        <v>520</v>
      </c>
      <c r="M201">
        <v>3530.28</v>
      </c>
      <c r="N201">
        <v>3177.2520000000004</v>
      </c>
      <c r="O201">
        <v>2080</v>
      </c>
      <c r="P201">
        <v>1097.2520000000004</v>
      </c>
    </row>
    <row r="202" spans="1:16" x14ac:dyDescent="0.3">
      <c r="A202" s="1">
        <v>45689</v>
      </c>
      <c r="B202" s="2" t="s">
        <v>39</v>
      </c>
      <c r="C202" s="2" t="s">
        <v>92</v>
      </c>
      <c r="D202" s="2" t="s">
        <v>50</v>
      </c>
      <c r="E202" s="2" t="s">
        <v>51</v>
      </c>
      <c r="F202" s="2" t="s">
        <v>43</v>
      </c>
      <c r="G202" s="2" t="s">
        <v>110</v>
      </c>
      <c r="H202">
        <v>2</v>
      </c>
      <c r="I202">
        <v>17</v>
      </c>
      <c r="J202">
        <v>364.45000000000005</v>
      </c>
      <c r="K202">
        <v>6.5000000000000002E-2</v>
      </c>
      <c r="L202">
        <v>240.5</v>
      </c>
      <c r="M202">
        <v>6798.8</v>
      </c>
      <c r="N202">
        <v>6424.5460000000003</v>
      </c>
      <c r="O202">
        <v>4552</v>
      </c>
      <c r="P202">
        <v>1872.546</v>
      </c>
    </row>
    <row r="203" spans="1:16" x14ac:dyDescent="0.3">
      <c r="A203" s="1">
        <v>45689</v>
      </c>
      <c r="B203" s="2" t="s">
        <v>65</v>
      </c>
      <c r="C203" s="2" t="s">
        <v>66</v>
      </c>
      <c r="D203" s="2" t="s">
        <v>50</v>
      </c>
      <c r="E203" s="2" t="s">
        <v>47</v>
      </c>
      <c r="F203" s="2" t="s">
        <v>43</v>
      </c>
      <c r="G203" s="2" t="s">
        <v>174</v>
      </c>
      <c r="H203">
        <v>1</v>
      </c>
      <c r="I203">
        <v>1</v>
      </c>
      <c r="J203">
        <v>1218.18</v>
      </c>
      <c r="K203">
        <v>0.05</v>
      </c>
      <c r="L203">
        <v>760</v>
      </c>
      <c r="M203">
        <v>1218.18</v>
      </c>
      <c r="N203">
        <v>1157.271</v>
      </c>
      <c r="O203">
        <v>760</v>
      </c>
      <c r="P203">
        <v>397.27099999999996</v>
      </c>
    </row>
    <row r="204" spans="1:16" x14ac:dyDescent="0.3">
      <c r="A204" s="1">
        <v>45689</v>
      </c>
      <c r="B204" s="2" t="s">
        <v>75</v>
      </c>
      <c r="C204" s="2" t="s">
        <v>101</v>
      </c>
      <c r="D204" s="2" t="s">
        <v>50</v>
      </c>
      <c r="E204" s="2" t="s">
        <v>42</v>
      </c>
      <c r="F204" s="2" t="s">
        <v>43</v>
      </c>
      <c r="G204" s="2" t="s">
        <v>162</v>
      </c>
      <c r="H204">
        <v>2</v>
      </c>
      <c r="I204">
        <v>6</v>
      </c>
      <c r="J204">
        <v>291.93</v>
      </c>
      <c r="K204">
        <v>7.5000000000000011E-2</v>
      </c>
      <c r="L204">
        <v>182</v>
      </c>
      <c r="M204">
        <v>1751.58</v>
      </c>
      <c r="N204">
        <v>1619.1209999999999</v>
      </c>
      <c r="O204">
        <v>1092</v>
      </c>
      <c r="P204">
        <v>527.12099999999987</v>
      </c>
    </row>
    <row r="205" spans="1:16" x14ac:dyDescent="0.3">
      <c r="A205" s="1">
        <v>45689</v>
      </c>
      <c r="B205" s="2" t="s">
        <v>75</v>
      </c>
      <c r="C205" s="2" t="s">
        <v>101</v>
      </c>
      <c r="D205" s="2" t="s">
        <v>50</v>
      </c>
      <c r="E205" s="2" t="s">
        <v>42</v>
      </c>
      <c r="F205" s="2" t="s">
        <v>48</v>
      </c>
      <c r="G205" s="2" t="s">
        <v>162</v>
      </c>
      <c r="H205">
        <v>2</v>
      </c>
      <c r="I205">
        <v>6</v>
      </c>
      <c r="J205">
        <v>131.84</v>
      </c>
      <c r="K205">
        <v>0.05</v>
      </c>
      <c r="L205">
        <v>63</v>
      </c>
      <c r="M205">
        <v>791.04</v>
      </c>
      <c r="N205">
        <v>751.48799999999994</v>
      </c>
      <c r="O205">
        <v>378</v>
      </c>
      <c r="P205">
        <v>373.48799999999994</v>
      </c>
    </row>
    <row r="206" spans="1:16" x14ac:dyDescent="0.3">
      <c r="A206" s="1">
        <v>45689</v>
      </c>
      <c r="B206" s="2" t="s">
        <v>56</v>
      </c>
      <c r="C206" s="2" t="s">
        <v>72</v>
      </c>
      <c r="D206" s="2" t="s">
        <v>41</v>
      </c>
      <c r="E206" s="2" t="s">
        <v>47</v>
      </c>
      <c r="F206" s="2" t="s">
        <v>48</v>
      </c>
      <c r="G206" s="2" t="s">
        <v>175</v>
      </c>
      <c r="H206">
        <v>1</v>
      </c>
      <c r="I206">
        <v>2</v>
      </c>
      <c r="J206">
        <v>140.87</v>
      </c>
      <c r="K206">
        <v>0.05</v>
      </c>
      <c r="L206">
        <v>63</v>
      </c>
      <c r="M206">
        <v>281.74</v>
      </c>
      <c r="N206">
        <v>267.65300000000002</v>
      </c>
      <c r="O206">
        <v>126</v>
      </c>
      <c r="P206">
        <v>141.65300000000002</v>
      </c>
    </row>
    <row r="207" spans="1:16" x14ac:dyDescent="0.3">
      <c r="A207" s="1">
        <v>45689</v>
      </c>
      <c r="B207" s="2" t="s">
        <v>56</v>
      </c>
      <c r="C207" s="2" t="s">
        <v>72</v>
      </c>
      <c r="D207" s="2" t="s">
        <v>41</v>
      </c>
      <c r="E207" s="2" t="s">
        <v>47</v>
      </c>
      <c r="F207" s="2" t="s">
        <v>43</v>
      </c>
      <c r="G207" s="2" t="s">
        <v>175</v>
      </c>
      <c r="H207">
        <v>1</v>
      </c>
      <c r="I207">
        <v>1</v>
      </c>
      <c r="J207">
        <v>112.58</v>
      </c>
      <c r="K207">
        <v>0</v>
      </c>
      <c r="L207">
        <v>54</v>
      </c>
      <c r="M207">
        <v>112.58</v>
      </c>
      <c r="N207">
        <v>112.58</v>
      </c>
      <c r="O207">
        <v>54</v>
      </c>
      <c r="P207">
        <v>58.58</v>
      </c>
    </row>
    <row r="208" spans="1:16" x14ac:dyDescent="0.3">
      <c r="A208" s="1">
        <v>45689</v>
      </c>
      <c r="B208" s="2" t="s">
        <v>65</v>
      </c>
      <c r="C208" s="2" t="s">
        <v>66</v>
      </c>
      <c r="D208" s="2" t="s">
        <v>41</v>
      </c>
      <c r="E208" s="2" t="s">
        <v>51</v>
      </c>
      <c r="F208" s="2" t="s">
        <v>43</v>
      </c>
      <c r="G208" s="2" t="s">
        <v>176</v>
      </c>
      <c r="H208">
        <v>1</v>
      </c>
      <c r="I208">
        <v>12</v>
      </c>
      <c r="J208">
        <v>573.63</v>
      </c>
      <c r="K208">
        <v>0.05</v>
      </c>
      <c r="L208">
        <v>395</v>
      </c>
      <c r="M208">
        <v>6883.5599999999995</v>
      </c>
      <c r="N208">
        <v>6539.3819999999996</v>
      </c>
      <c r="O208">
        <v>4740</v>
      </c>
      <c r="P208">
        <v>1799.3819999999996</v>
      </c>
    </row>
    <row r="209" spans="1:16" x14ac:dyDescent="0.3">
      <c r="A209" s="1">
        <v>45689</v>
      </c>
      <c r="B209" s="2" t="s">
        <v>39</v>
      </c>
      <c r="C209" s="2" t="s">
        <v>78</v>
      </c>
      <c r="D209" s="2" t="s">
        <v>41</v>
      </c>
      <c r="E209" s="2" t="s">
        <v>47</v>
      </c>
      <c r="F209" s="2" t="s">
        <v>43</v>
      </c>
      <c r="G209" s="2" t="s">
        <v>177</v>
      </c>
      <c r="H209">
        <v>1</v>
      </c>
      <c r="I209">
        <v>4</v>
      </c>
      <c r="J209">
        <v>110.25</v>
      </c>
      <c r="K209">
        <v>0.05</v>
      </c>
      <c r="L209">
        <v>54</v>
      </c>
      <c r="M209">
        <v>441</v>
      </c>
      <c r="N209">
        <v>418.95</v>
      </c>
      <c r="O209">
        <v>216</v>
      </c>
      <c r="P209">
        <v>202.95</v>
      </c>
    </row>
    <row r="210" spans="1:16" x14ac:dyDescent="0.3">
      <c r="A210" s="1">
        <v>45689</v>
      </c>
      <c r="B210" s="2" t="s">
        <v>56</v>
      </c>
      <c r="C210" s="2" t="s">
        <v>57</v>
      </c>
      <c r="D210" s="2" t="s">
        <v>41</v>
      </c>
      <c r="E210" s="2" t="s">
        <v>51</v>
      </c>
      <c r="F210" s="2" t="s">
        <v>48</v>
      </c>
      <c r="G210" s="2" t="s">
        <v>86</v>
      </c>
      <c r="H210">
        <v>1</v>
      </c>
      <c r="I210">
        <v>7</v>
      </c>
      <c r="J210">
        <v>86.75</v>
      </c>
      <c r="K210">
        <v>0</v>
      </c>
      <c r="L210">
        <v>39</v>
      </c>
      <c r="M210">
        <v>607.25</v>
      </c>
      <c r="N210">
        <v>607.25</v>
      </c>
      <c r="O210">
        <v>273</v>
      </c>
      <c r="P210">
        <v>334.25</v>
      </c>
    </row>
    <row r="211" spans="1:16" x14ac:dyDescent="0.3">
      <c r="A211" s="1">
        <v>45689</v>
      </c>
      <c r="B211" s="2" t="s">
        <v>56</v>
      </c>
      <c r="C211" s="2" t="s">
        <v>72</v>
      </c>
      <c r="D211" s="2" t="s">
        <v>41</v>
      </c>
      <c r="E211" s="2" t="s">
        <v>51</v>
      </c>
      <c r="F211" s="2" t="s">
        <v>43</v>
      </c>
      <c r="G211" s="2" t="s">
        <v>175</v>
      </c>
      <c r="H211">
        <v>1</v>
      </c>
      <c r="I211">
        <v>7</v>
      </c>
      <c r="J211">
        <v>546.42999999999995</v>
      </c>
      <c r="K211">
        <v>0</v>
      </c>
      <c r="L211">
        <v>395</v>
      </c>
      <c r="M211">
        <v>3825.0099999999998</v>
      </c>
      <c r="N211">
        <v>3825.0099999999998</v>
      </c>
      <c r="O211">
        <v>2765</v>
      </c>
      <c r="P211">
        <v>1060.0099999999998</v>
      </c>
    </row>
    <row r="212" spans="1:16" x14ac:dyDescent="0.3">
      <c r="A212" s="1">
        <v>45689</v>
      </c>
      <c r="B212" s="2" t="s">
        <v>75</v>
      </c>
      <c r="C212" s="2" t="s">
        <v>101</v>
      </c>
      <c r="D212" s="2" t="s">
        <v>50</v>
      </c>
      <c r="E212" s="2" t="s">
        <v>51</v>
      </c>
      <c r="F212" s="2" t="s">
        <v>48</v>
      </c>
      <c r="G212" s="2" t="s">
        <v>149</v>
      </c>
      <c r="H212">
        <v>2</v>
      </c>
      <c r="I212">
        <v>20</v>
      </c>
      <c r="J212">
        <v>67.069999999999993</v>
      </c>
      <c r="K212">
        <v>0</v>
      </c>
      <c r="L212">
        <v>31</v>
      </c>
      <c r="M212">
        <v>1341.3999999999999</v>
      </c>
      <c r="N212">
        <v>1341.3999999999999</v>
      </c>
      <c r="O212">
        <v>620</v>
      </c>
      <c r="P212">
        <v>721.39999999999986</v>
      </c>
    </row>
    <row r="213" spans="1:16" x14ac:dyDescent="0.3">
      <c r="A213" s="1">
        <v>45689</v>
      </c>
      <c r="B213" s="2" t="s">
        <v>39</v>
      </c>
      <c r="C213" s="2" t="s">
        <v>40</v>
      </c>
      <c r="D213" s="2" t="s">
        <v>41</v>
      </c>
      <c r="E213" s="2" t="s">
        <v>42</v>
      </c>
      <c r="F213" s="2" t="s">
        <v>43</v>
      </c>
      <c r="G213" s="2" t="s">
        <v>86</v>
      </c>
      <c r="H213">
        <v>1</v>
      </c>
      <c r="I213">
        <v>1</v>
      </c>
      <c r="J213">
        <v>290.33</v>
      </c>
      <c r="K213">
        <v>0</v>
      </c>
      <c r="L213">
        <v>182</v>
      </c>
      <c r="M213">
        <v>290.33</v>
      </c>
      <c r="N213">
        <v>290.33</v>
      </c>
      <c r="O213">
        <v>182</v>
      </c>
      <c r="P213">
        <v>108.32999999999998</v>
      </c>
    </row>
    <row r="214" spans="1:16" x14ac:dyDescent="0.3">
      <c r="A214" s="1">
        <v>45689</v>
      </c>
      <c r="B214" s="2" t="s">
        <v>39</v>
      </c>
      <c r="C214" s="2" t="s">
        <v>54</v>
      </c>
      <c r="D214" s="2" t="s">
        <v>50</v>
      </c>
      <c r="E214" s="2" t="s">
        <v>47</v>
      </c>
      <c r="F214" s="2" t="s">
        <v>48</v>
      </c>
      <c r="G214" s="2" t="s">
        <v>178</v>
      </c>
      <c r="H214">
        <v>2</v>
      </c>
      <c r="I214">
        <v>4</v>
      </c>
      <c r="J214">
        <v>24.354999999999997</v>
      </c>
      <c r="K214">
        <v>0.08</v>
      </c>
      <c r="L214">
        <v>8</v>
      </c>
      <c r="M214">
        <v>97.419999999999987</v>
      </c>
      <c r="N214">
        <v>89.62639999999999</v>
      </c>
      <c r="O214">
        <v>32</v>
      </c>
      <c r="P214">
        <v>57.626399999999997</v>
      </c>
    </row>
    <row r="215" spans="1:16" x14ac:dyDescent="0.3">
      <c r="A215" s="1">
        <v>45689</v>
      </c>
      <c r="B215" s="2" t="s">
        <v>83</v>
      </c>
      <c r="C215" s="2" t="s">
        <v>84</v>
      </c>
      <c r="D215" s="2" t="s">
        <v>50</v>
      </c>
      <c r="E215" s="2" t="s">
        <v>42</v>
      </c>
      <c r="F215" s="2" t="s">
        <v>43</v>
      </c>
      <c r="G215" s="2" t="s">
        <v>91</v>
      </c>
      <c r="H215">
        <v>1</v>
      </c>
      <c r="I215">
        <v>2</v>
      </c>
      <c r="J215">
        <v>297.69</v>
      </c>
      <c r="K215">
        <v>0.1</v>
      </c>
      <c r="L215">
        <v>182</v>
      </c>
      <c r="M215">
        <v>595.38</v>
      </c>
      <c r="N215">
        <v>535.84199999999998</v>
      </c>
      <c r="O215">
        <v>364</v>
      </c>
      <c r="P215">
        <v>171.84199999999998</v>
      </c>
    </row>
    <row r="216" spans="1:16" x14ac:dyDescent="0.3">
      <c r="A216" s="1">
        <v>45689</v>
      </c>
      <c r="B216" s="2" t="s">
        <v>39</v>
      </c>
      <c r="C216" s="2" t="s">
        <v>45</v>
      </c>
      <c r="D216" s="2" t="s">
        <v>41</v>
      </c>
      <c r="E216" s="2" t="s">
        <v>42</v>
      </c>
      <c r="F216" s="2" t="s">
        <v>52</v>
      </c>
      <c r="G216" s="2" t="s">
        <v>129</v>
      </c>
      <c r="H216">
        <v>1</v>
      </c>
      <c r="I216">
        <v>1</v>
      </c>
      <c r="J216">
        <v>41.88</v>
      </c>
      <c r="K216">
        <v>0</v>
      </c>
      <c r="L216">
        <v>18</v>
      </c>
      <c r="M216">
        <v>41.88</v>
      </c>
      <c r="N216">
        <v>41.88</v>
      </c>
      <c r="O216">
        <v>18</v>
      </c>
      <c r="P216">
        <v>23.880000000000003</v>
      </c>
    </row>
    <row r="217" spans="1:16" x14ac:dyDescent="0.3">
      <c r="A217" s="1">
        <v>45689</v>
      </c>
      <c r="B217" s="2" t="s">
        <v>39</v>
      </c>
      <c r="C217" s="2" t="s">
        <v>45</v>
      </c>
      <c r="D217" s="2" t="s">
        <v>41</v>
      </c>
      <c r="E217" s="2" t="s">
        <v>42</v>
      </c>
      <c r="F217" s="2" t="s">
        <v>48</v>
      </c>
      <c r="G217" s="2" t="s">
        <v>129</v>
      </c>
      <c r="H217">
        <v>1</v>
      </c>
      <c r="I217">
        <v>1</v>
      </c>
      <c r="J217">
        <v>89.97</v>
      </c>
      <c r="K217">
        <v>0</v>
      </c>
      <c r="L217">
        <v>39</v>
      </c>
      <c r="M217">
        <v>89.97</v>
      </c>
      <c r="N217">
        <v>89.97</v>
      </c>
      <c r="O217">
        <v>39</v>
      </c>
      <c r="P217">
        <v>50.97</v>
      </c>
    </row>
    <row r="218" spans="1:16" x14ac:dyDescent="0.3">
      <c r="A218" s="1">
        <v>45689</v>
      </c>
      <c r="B218" s="2" t="s">
        <v>56</v>
      </c>
      <c r="C218" s="2" t="s">
        <v>62</v>
      </c>
      <c r="D218" s="2" t="s">
        <v>41</v>
      </c>
      <c r="E218" s="2" t="s">
        <v>47</v>
      </c>
      <c r="F218" s="2" t="s">
        <v>52</v>
      </c>
      <c r="G218" s="2" t="s">
        <v>143</v>
      </c>
      <c r="H218">
        <v>1</v>
      </c>
      <c r="I218">
        <v>4</v>
      </c>
      <c r="J218">
        <v>45.19</v>
      </c>
      <c r="K218">
        <v>0</v>
      </c>
      <c r="L218">
        <v>18</v>
      </c>
      <c r="M218">
        <v>180.76</v>
      </c>
      <c r="N218">
        <v>180.76</v>
      </c>
      <c r="O218">
        <v>72</v>
      </c>
      <c r="P218">
        <v>108.75999999999999</v>
      </c>
    </row>
    <row r="219" spans="1:16" x14ac:dyDescent="0.3">
      <c r="A219" s="1">
        <v>45689</v>
      </c>
      <c r="B219" s="2" t="s">
        <v>56</v>
      </c>
      <c r="C219" s="2" t="s">
        <v>72</v>
      </c>
      <c r="D219" s="2" t="s">
        <v>41</v>
      </c>
      <c r="E219" s="2" t="s">
        <v>42</v>
      </c>
      <c r="F219" s="2" t="s">
        <v>43</v>
      </c>
      <c r="G219" s="2" t="s">
        <v>179</v>
      </c>
      <c r="H219">
        <v>1</v>
      </c>
      <c r="I219">
        <v>2</v>
      </c>
      <c r="J219">
        <v>809.29</v>
      </c>
      <c r="K219">
        <v>0</v>
      </c>
      <c r="L219">
        <v>520</v>
      </c>
      <c r="M219">
        <v>1618.58</v>
      </c>
      <c r="N219">
        <v>1618.58</v>
      </c>
      <c r="O219">
        <v>1040</v>
      </c>
      <c r="P219">
        <v>578.57999999999993</v>
      </c>
    </row>
    <row r="220" spans="1:16" x14ac:dyDescent="0.3">
      <c r="A220" s="1">
        <v>45689</v>
      </c>
      <c r="B220" s="2" t="s">
        <v>83</v>
      </c>
      <c r="C220" s="2" t="s">
        <v>84</v>
      </c>
      <c r="D220" s="2" t="s">
        <v>41</v>
      </c>
      <c r="E220" s="2" t="s">
        <v>47</v>
      </c>
      <c r="F220" s="2" t="s">
        <v>43</v>
      </c>
      <c r="G220" s="2" t="s">
        <v>160</v>
      </c>
      <c r="H220">
        <v>1</v>
      </c>
      <c r="I220">
        <v>1</v>
      </c>
      <c r="J220">
        <v>1170.21</v>
      </c>
      <c r="K220">
        <v>0.05</v>
      </c>
      <c r="L220">
        <v>760</v>
      </c>
      <c r="M220">
        <v>1170.21</v>
      </c>
      <c r="N220">
        <v>1111.6994999999999</v>
      </c>
      <c r="O220">
        <v>760</v>
      </c>
      <c r="P220">
        <v>351.69949999999994</v>
      </c>
    </row>
    <row r="221" spans="1:16" x14ac:dyDescent="0.3">
      <c r="A221" s="1">
        <v>45689</v>
      </c>
      <c r="B221" s="2" t="s">
        <v>83</v>
      </c>
      <c r="C221" s="2" t="s">
        <v>84</v>
      </c>
      <c r="D221" s="2" t="s">
        <v>41</v>
      </c>
      <c r="E221" s="2" t="s">
        <v>47</v>
      </c>
      <c r="F221" s="2" t="s">
        <v>48</v>
      </c>
      <c r="G221" s="2" t="s">
        <v>160</v>
      </c>
      <c r="H221">
        <v>1</v>
      </c>
      <c r="I221">
        <v>3</v>
      </c>
      <c r="J221">
        <v>95.25</v>
      </c>
      <c r="K221">
        <v>0</v>
      </c>
      <c r="L221">
        <v>39</v>
      </c>
      <c r="M221">
        <v>285.75</v>
      </c>
      <c r="N221">
        <v>285.75</v>
      </c>
      <c r="O221">
        <v>117</v>
      </c>
      <c r="P221">
        <v>168.75</v>
      </c>
    </row>
    <row r="222" spans="1:16" x14ac:dyDescent="0.3">
      <c r="A222" s="1">
        <v>45689</v>
      </c>
      <c r="B222" s="2" t="s">
        <v>56</v>
      </c>
      <c r="C222" s="2" t="s">
        <v>57</v>
      </c>
      <c r="D222" s="2" t="s">
        <v>46</v>
      </c>
      <c r="E222" s="2" t="s">
        <v>42</v>
      </c>
      <c r="F222" s="2" t="s">
        <v>43</v>
      </c>
      <c r="G222" s="2" t="s">
        <v>116</v>
      </c>
      <c r="H222">
        <v>1</v>
      </c>
      <c r="I222">
        <v>2</v>
      </c>
      <c r="J222">
        <v>623.02</v>
      </c>
      <c r="K222">
        <v>0.05</v>
      </c>
      <c r="L222">
        <v>395</v>
      </c>
      <c r="M222">
        <v>1246.04</v>
      </c>
      <c r="N222">
        <v>1183.7379999999998</v>
      </c>
      <c r="O222">
        <v>790</v>
      </c>
      <c r="P222">
        <v>393.73799999999983</v>
      </c>
    </row>
    <row r="223" spans="1:16" x14ac:dyDescent="0.3">
      <c r="A223" s="1">
        <v>45689</v>
      </c>
      <c r="B223" s="2" t="s">
        <v>56</v>
      </c>
      <c r="C223" s="2" t="s">
        <v>57</v>
      </c>
      <c r="D223" s="2" t="s">
        <v>46</v>
      </c>
      <c r="E223" s="2" t="s">
        <v>42</v>
      </c>
      <c r="F223" s="2" t="s">
        <v>48</v>
      </c>
      <c r="G223" s="2" t="s">
        <v>116</v>
      </c>
      <c r="H223">
        <v>1</v>
      </c>
      <c r="I223">
        <v>2</v>
      </c>
      <c r="J223">
        <v>140.77000000000001</v>
      </c>
      <c r="K223">
        <v>0.12</v>
      </c>
      <c r="L223">
        <v>63</v>
      </c>
      <c r="M223">
        <v>281.54000000000002</v>
      </c>
      <c r="N223">
        <v>247.75520000000003</v>
      </c>
      <c r="O223">
        <v>126</v>
      </c>
      <c r="P223">
        <v>121.75520000000003</v>
      </c>
    </row>
    <row r="224" spans="1:16" x14ac:dyDescent="0.3">
      <c r="A224" s="1">
        <v>45689</v>
      </c>
      <c r="B224" s="2" t="s">
        <v>56</v>
      </c>
      <c r="C224" s="2" t="s">
        <v>62</v>
      </c>
      <c r="D224" s="2" t="s">
        <v>50</v>
      </c>
      <c r="E224" s="2" t="s">
        <v>42</v>
      </c>
      <c r="F224" s="2" t="s">
        <v>52</v>
      </c>
      <c r="G224" s="2" t="s">
        <v>139</v>
      </c>
      <c r="H224">
        <v>1</v>
      </c>
      <c r="I224">
        <v>1</v>
      </c>
      <c r="J224">
        <v>44</v>
      </c>
      <c r="K224">
        <v>0.1</v>
      </c>
      <c r="L224">
        <v>18</v>
      </c>
      <c r="M224">
        <v>44</v>
      </c>
      <c r="N224">
        <v>39.6</v>
      </c>
      <c r="O224">
        <v>18</v>
      </c>
      <c r="P224">
        <v>21.6</v>
      </c>
    </row>
    <row r="225" spans="1:16" x14ac:dyDescent="0.3">
      <c r="A225" s="1">
        <v>45689</v>
      </c>
      <c r="B225" s="2" t="s">
        <v>56</v>
      </c>
      <c r="C225" s="2" t="s">
        <v>57</v>
      </c>
      <c r="D225" s="2" t="s">
        <v>50</v>
      </c>
      <c r="E225" s="2" t="s">
        <v>42</v>
      </c>
      <c r="F225" s="2" t="s">
        <v>43</v>
      </c>
      <c r="G225" s="2" t="s">
        <v>60</v>
      </c>
      <c r="H225">
        <v>1</v>
      </c>
      <c r="I225">
        <v>2</v>
      </c>
      <c r="J225">
        <v>287.32</v>
      </c>
      <c r="K225">
        <v>0.05</v>
      </c>
      <c r="L225">
        <v>182</v>
      </c>
      <c r="M225">
        <v>574.64</v>
      </c>
      <c r="N225">
        <v>545.90800000000002</v>
      </c>
      <c r="O225">
        <v>364</v>
      </c>
      <c r="P225">
        <v>181.90800000000002</v>
      </c>
    </row>
    <row r="226" spans="1:16" x14ac:dyDescent="0.3">
      <c r="A226" s="1">
        <v>45689</v>
      </c>
      <c r="B226" s="2" t="s">
        <v>56</v>
      </c>
      <c r="C226" s="2" t="s">
        <v>57</v>
      </c>
      <c r="D226" s="2" t="s">
        <v>50</v>
      </c>
      <c r="E226" s="2" t="s">
        <v>96</v>
      </c>
      <c r="F226" s="2" t="s">
        <v>48</v>
      </c>
      <c r="G226" s="2" t="s">
        <v>150</v>
      </c>
      <c r="H226">
        <v>1</v>
      </c>
      <c r="I226">
        <v>3</v>
      </c>
      <c r="J226">
        <v>92.72</v>
      </c>
      <c r="K226">
        <v>0.1</v>
      </c>
      <c r="L226">
        <v>39</v>
      </c>
      <c r="M226">
        <v>278.15999999999997</v>
      </c>
      <c r="N226">
        <v>250.34399999999997</v>
      </c>
      <c r="O226">
        <v>117</v>
      </c>
      <c r="P226">
        <v>133.34399999999997</v>
      </c>
    </row>
    <row r="227" spans="1:16" x14ac:dyDescent="0.3">
      <c r="A227" s="1">
        <v>45689</v>
      </c>
      <c r="B227" s="2" t="s">
        <v>56</v>
      </c>
      <c r="C227" s="2" t="s">
        <v>62</v>
      </c>
      <c r="D227" s="2" t="s">
        <v>41</v>
      </c>
      <c r="E227" s="2" t="s">
        <v>47</v>
      </c>
      <c r="F227" s="2" t="s">
        <v>43</v>
      </c>
      <c r="G227" s="2" t="s">
        <v>161</v>
      </c>
      <c r="H227">
        <v>1</v>
      </c>
      <c r="I227">
        <v>2</v>
      </c>
      <c r="J227">
        <v>185.16</v>
      </c>
      <c r="K227">
        <v>0</v>
      </c>
      <c r="L227">
        <v>86</v>
      </c>
      <c r="M227">
        <v>370.32</v>
      </c>
      <c r="N227">
        <v>370.32</v>
      </c>
      <c r="O227">
        <v>172</v>
      </c>
      <c r="P227">
        <v>198.32</v>
      </c>
    </row>
    <row r="228" spans="1:16" x14ac:dyDescent="0.3">
      <c r="A228" s="1">
        <v>45689</v>
      </c>
      <c r="B228" s="2" t="s">
        <v>39</v>
      </c>
      <c r="C228" s="2" t="s">
        <v>40</v>
      </c>
      <c r="D228" s="2" t="s">
        <v>41</v>
      </c>
      <c r="E228" s="2" t="s">
        <v>42</v>
      </c>
      <c r="F228" s="2" t="s">
        <v>48</v>
      </c>
      <c r="G228" s="2" t="s">
        <v>180</v>
      </c>
      <c r="H228">
        <v>1</v>
      </c>
      <c r="I228">
        <v>3</v>
      </c>
      <c r="J228">
        <v>89.47</v>
      </c>
      <c r="K228">
        <v>0</v>
      </c>
      <c r="L228">
        <v>39</v>
      </c>
      <c r="M228">
        <v>268.40999999999997</v>
      </c>
      <c r="N228">
        <v>268.40999999999997</v>
      </c>
      <c r="O228">
        <v>117</v>
      </c>
      <c r="P228">
        <v>151.40999999999997</v>
      </c>
    </row>
    <row r="229" spans="1:16" x14ac:dyDescent="0.3">
      <c r="A229" s="1">
        <v>45689</v>
      </c>
      <c r="B229" s="2" t="s">
        <v>39</v>
      </c>
      <c r="C229" s="2" t="s">
        <v>54</v>
      </c>
      <c r="D229" s="2" t="s">
        <v>41</v>
      </c>
      <c r="E229" s="2" t="s">
        <v>47</v>
      </c>
      <c r="F229" s="2" t="s">
        <v>52</v>
      </c>
      <c r="G229" s="2" t="s">
        <v>55</v>
      </c>
      <c r="H229">
        <v>1</v>
      </c>
      <c r="I229">
        <v>2</v>
      </c>
      <c r="J229">
        <v>44.23</v>
      </c>
      <c r="K229">
        <v>0</v>
      </c>
      <c r="L229">
        <v>18</v>
      </c>
      <c r="M229">
        <v>88.46</v>
      </c>
      <c r="N229">
        <v>88.46</v>
      </c>
      <c r="O229">
        <v>36</v>
      </c>
      <c r="P229">
        <v>52.459999999999994</v>
      </c>
    </row>
    <row r="230" spans="1:16" x14ac:dyDescent="0.3">
      <c r="A230" s="1">
        <v>45689</v>
      </c>
      <c r="B230" s="2" t="s">
        <v>39</v>
      </c>
      <c r="C230" s="2" t="s">
        <v>54</v>
      </c>
      <c r="D230" s="2" t="s">
        <v>41</v>
      </c>
      <c r="E230" s="2" t="s">
        <v>47</v>
      </c>
      <c r="F230" s="2" t="s">
        <v>43</v>
      </c>
      <c r="G230" s="2" t="s">
        <v>55</v>
      </c>
      <c r="H230">
        <v>1</v>
      </c>
      <c r="I230">
        <v>1</v>
      </c>
      <c r="J230">
        <v>653.45000000000005</v>
      </c>
      <c r="K230">
        <v>0</v>
      </c>
      <c r="L230">
        <v>395</v>
      </c>
      <c r="M230">
        <v>653.45000000000005</v>
      </c>
      <c r="N230">
        <v>653.45000000000005</v>
      </c>
      <c r="O230">
        <v>395</v>
      </c>
      <c r="P230">
        <v>258.45000000000005</v>
      </c>
    </row>
    <row r="231" spans="1:16" x14ac:dyDescent="0.3">
      <c r="A231" s="1">
        <v>45689</v>
      </c>
      <c r="B231" s="2" t="s">
        <v>56</v>
      </c>
      <c r="C231" s="2" t="s">
        <v>57</v>
      </c>
      <c r="D231" s="2" t="s">
        <v>50</v>
      </c>
      <c r="E231" s="2" t="s">
        <v>42</v>
      </c>
      <c r="F231" s="2" t="s">
        <v>43</v>
      </c>
      <c r="G231" s="2" t="s">
        <v>121</v>
      </c>
      <c r="H231">
        <v>1</v>
      </c>
      <c r="I231">
        <v>3</v>
      </c>
      <c r="J231">
        <v>182.18</v>
      </c>
      <c r="K231">
        <v>0.08</v>
      </c>
      <c r="L231">
        <v>86</v>
      </c>
      <c r="M231">
        <v>546.54</v>
      </c>
      <c r="N231">
        <v>502.8168</v>
      </c>
      <c r="O231">
        <v>258</v>
      </c>
      <c r="P231">
        <v>244.8168</v>
      </c>
    </row>
    <row r="232" spans="1:16" x14ac:dyDescent="0.3">
      <c r="A232" s="1">
        <v>45689</v>
      </c>
      <c r="B232" s="2" t="s">
        <v>39</v>
      </c>
      <c r="C232" s="2" t="s">
        <v>54</v>
      </c>
      <c r="D232" s="2" t="s">
        <v>50</v>
      </c>
      <c r="E232" s="2" t="s">
        <v>42</v>
      </c>
      <c r="F232" s="2" t="s">
        <v>43</v>
      </c>
      <c r="G232" s="2" t="s">
        <v>178</v>
      </c>
      <c r="H232">
        <v>1</v>
      </c>
      <c r="I232">
        <v>3</v>
      </c>
      <c r="J232">
        <v>104.65</v>
      </c>
      <c r="K232">
        <v>0.1</v>
      </c>
      <c r="L232">
        <v>54</v>
      </c>
      <c r="M232">
        <v>313.95000000000005</v>
      </c>
      <c r="N232">
        <v>282.55500000000006</v>
      </c>
      <c r="O232">
        <v>162</v>
      </c>
      <c r="P232">
        <v>120.55500000000006</v>
      </c>
    </row>
    <row r="233" spans="1:16" x14ac:dyDescent="0.3">
      <c r="A233" s="1">
        <v>45689</v>
      </c>
      <c r="B233" s="2" t="s">
        <v>39</v>
      </c>
      <c r="C233" s="2" t="s">
        <v>54</v>
      </c>
      <c r="D233" s="2" t="s">
        <v>41</v>
      </c>
      <c r="E233" s="2" t="s">
        <v>47</v>
      </c>
      <c r="F233" s="2" t="s">
        <v>48</v>
      </c>
      <c r="G233" s="2" t="s">
        <v>168</v>
      </c>
      <c r="H233">
        <v>1</v>
      </c>
      <c r="I233">
        <v>4</v>
      </c>
      <c r="J233">
        <v>142.25</v>
      </c>
      <c r="K233">
        <v>0</v>
      </c>
      <c r="L233">
        <v>63</v>
      </c>
      <c r="M233">
        <v>569</v>
      </c>
      <c r="N233">
        <v>569</v>
      </c>
      <c r="O233">
        <v>252</v>
      </c>
      <c r="P233">
        <v>317</v>
      </c>
    </row>
    <row r="234" spans="1:16" x14ac:dyDescent="0.3">
      <c r="A234" s="1">
        <v>45689</v>
      </c>
      <c r="B234" s="2" t="s">
        <v>39</v>
      </c>
      <c r="C234" s="2" t="s">
        <v>88</v>
      </c>
      <c r="D234" s="2" t="s">
        <v>41</v>
      </c>
      <c r="E234" s="2" t="s">
        <v>47</v>
      </c>
      <c r="F234" s="2" t="s">
        <v>48</v>
      </c>
      <c r="G234" s="2" t="s">
        <v>181</v>
      </c>
      <c r="H234">
        <v>1</v>
      </c>
      <c r="I234">
        <v>2</v>
      </c>
      <c r="J234">
        <v>24.22</v>
      </c>
      <c r="K234">
        <v>0</v>
      </c>
      <c r="L234">
        <v>8</v>
      </c>
      <c r="M234">
        <v>48.44</v>
      </c>
      <c r="N234">
        <v>48.44</v>
      </c>
      <c r="O234">
        <v>16</v>
      </c>
      <c r="P234">
        <v>32.44</v>
      </c>
    </row>
    <row r="235" spans="1:16" x14ac:dyDescent="0.3">
      <c r="A235" s="1">
        <v>45689</v>
      </c>
      <c r="B235" s="2" t="s">
        <v>39</v>
      </c>
      <c r="C235" s="2" t="s">
        <v>78</v>
      </c>
      <c r="D235" s="2" t="s">
        <v>41</v>
      </c>
      <c r="E235" s="2" t="s">
        <v>51</v>
      </c>
      <c r="F235" s="2" t="s">
        <v>43</v>
      </c>
      <c r="G235" s="2" t="s">
        <v>182</v>
      </c>
      <c r="H235">
        <v>1</v>
      </c>
      <c r="I235">
        <v>5</v>
      </c>
      <c r="J235">
        <v>270.76</v>
      </c>
      <c r="K235">
        <v>0</v>
      </c>
      <c r="L235">
        <v>182</v>
      </c>
      <c r="M235">
        <v>1353.8</v>
      </c>
      <c r="N235">
        <v>1353.8</v>
      </c>
      <c r="O235">
        <v>910</v>
      </c>
      <c r="P235">
        <v>443.79999999999995</v>
      </c>
    </row>
    <row r="236" spans="1:16" x14ac:dyDescent="0.3">
      <c r="A236" s="1">
        <v>45689</v>
      </c>
      <c r="B236" s="2" t="s">
        <v>75</v>
      </c>
      <c r="C236" s="2" t="s">
        <v>106</v>
      </c>
      <c r="D236" s="2" t="s">
        <v>41</v>
      </c>
      <c r="E236" s="2" t="s">
        <v>47</v>
      </c>
      <c r="F236" s="2" t="s">
        <v>48</v>
      </c>
      <c r="G236" s="2" t="s">
        <v>132</v>
      </c>
      <c r="H236">
        <v>1</v>
      </c>
      <c r="I236">
        <v>3</v>
      </c>
      <c r="J236">
        <v>72.75</v>
      </c>
      <c r="K236">
        <v>0.05</v>
      </c>
      <c r="L236">
        <v>31</v>
      </c>
      <c r="M236">
        <v>218.25</v>
      </c>
      <c r="N236">
        <v>207.33749999999998</v>
      </c>
      <c r="O236">
        <v>93</v>
      </c>
      <c r="P236">
        <v>114.33749999999998</v>
      </c>
    </row>
    <row r="237" spans="1:16" x14ac:dyDescent="0.3">
      <c r="A237" s="1">
        <v>45689</v>
      </c>
      <c r="B237" s="2" t="s">
        <v>75</v>
      </c>
      <c r="C237" s="2" t="s">
        <v>106</v>
      </c>
      <c r="D237" s="2" t="s">
        <v>41</v>
      </c>
      <c r="E237" s="2" t="s">
        <v>47</v>
      </c>
      <c r="F237" s="2" t="s">
        <v>43</v>
      </c>
      <c r="G237" s="2" t="s">
        <v>132</v>
      </c>
      <c r="H237">
        <v>1</v>
      </c>
      <c r="I237">
        <v>4</v>
      </c>
      <c r="J237">
        <v>1184.67</v>
      </c>
      <c r="K237">
        <v>0</v>
      </c>
      <c r="L237">
        <v>760</v>
      </c>
      <c r="M237">
        <v>4738.68</v>
      </c>
      <c r="N237">
        <v>4738.68</v>
      </c>
      <c r="O237">
        <v>3040</v>
      </c>
      <c r="P237">
        <v>1698.6800000000003</v>
      </c>
    </row>
    <row r="238" spans="1:16" x14ac:dyDescent="0.3">
      <c r="A238" s="1">
        <v>45689</v>
      </c>
      <c r="B238" s="2" t="s">
        <v>39</v>
      </c>
      <c r="C238" s="2" t="s">
        <v>40</v>
      </c>
      <c r="D238" s="2" t="s">
        <v>46</v>
      </c>
      <c r="E238" s="2" t="s">
        <v>47</v>
      </c>
      <c r="F238" s="2" t="s">
        <v>43</v>
      </c>
      <c r="G238" s="2" t="s">
        <v>120</v>
      </c>
      <c r="H238">
        <v>1</v>
      </c>
      <c r="I238">
        <v>1</v>
      </c>
      <c r="J238">
        <v>111.13</v>
      </c>
      <c r="K238">
        <v>0.08</v>
      </c>
      <c r="L238">
        <v>54</v>
      </c>
      <c r="M238">
        <v>111.13</v>
      </c>
      <c r="N238">
        <v>102.2396</v>
      </c>
      <c r="O238">
        <v>54</v>
      </c>
      <c r="P238">
        <v>48.239599999999996</v>
      </c>
    </row>
    <row r="239" spans="1:16" x14ac:dyDescent="0.3">
      <c r="A239" s="1">
        <v>45689</v>
      </c>
      <c r="B239" s="2" t="s">
        <v>56</v>
      </c>
      <c r="C239" s="2" t="s">
        <v>57</v>
      </c>
      <c r="D239" s="2" t="s">
        <v>50</v>
      </c>
      <c r="E239" s="2" t="s">
        <v>51</v>
      </c>
      <c r="F239" s="2" t="s">
        <v>48</v>
      </c>
      <c r="G239" s="2" t="s">
        <v>147</v>
      </c>
      <c r="H239">
        <v>1</v>
      </c>
      <c r="I239">
        <v>22</v>
      </c>
      <c r="J239">
        <v>119.8</v>
      </c>
      <c r="K239">
        <v>0</v>
      </c>
      <c r="L239">
        <v>63</v>
      </c>
      <c r="M239">
        <v>2635.6</v>
      </c>
      <c r="N239">
        <v>2635.6</v>
      </c>
      <c r="O239">
        <v>1386</v>
      </c>
      <c r="P239">
        <v>1249.5999999999999</v>
      </c>
    </row>
    <row r="240" spans="1:16" x14ac:dyDescent="0.3">
      <c r="A240" s="1">
        <v>45717</v>
      </c>
      <c r="B240" s="2" t="s">
        <v>39</v>
      </c>
      <c r="C240" s="2" t="s">
        <v>40</v>
      </c>
      <c r="D240" s="2" t="s">
        <v>50</v>
      </c>
      <c r="E240" s="2" t="s">
        <v>51</v>
      </c>
      <c r="F240" s="2" t="s">
        <v>48</v>
      </c>
      <c r="G240" s="2" t="s">
        <v>122</v>
      </c>
      <c r="H240">
        <v>1</v>
      </c>
      <c r="I240">
        <v>8</v>
      </c>
      <c r="J240">
        <v>20.82</v>
      </c>
      <c r="K240">
        <v>0.1</v>
      </c>
      <c r="L240">
        <v>8</v>
      </c>
      <c r="M240">
        <v>166.56</v>
      </c>
      <c r="N240">
        <v>149.904</v>
      </c>
      <c r="O240">
        <v>64</v>
      </c>
      <c r="P240">
        <v>85.903999999999996</v>
      </c>
    </row>
    <row r="241" spans="1:16" x14ac:dyDescent="0.3">
      <c r="A241" s="1">
        <v>45717</v>
      </c>
      <c r="B241" s="2" t="s">
        <v>39</v>
      </c>
      <c r="C241" s="2" t="s">
        <v>92</v>
      </c>
      <c r="D241" s="2" t="s">
        <v>46</v>
      </c>
      <c r="E241" s="2" t="s">
        <v>42</v>
      </c>
      <c r="F241" s="2" t="s">
        <v>48</v>
      </c>
      <c r="G241" s="2" t="s">
        <v>93</v>
      </c>
      <c r="H241">
        <v>2</v>
      </c>
      <c r="I241">
        <v>43</v>
      </c>
      <c r="J241">
        <v>78.504999999999995</v>
      </c>
      <c r="K241">
        <v>0.1</v>
      </c>
      <c r="L241">
        <v>35.5</v>
      </c>
      <c r="M241">
        <v>1361.99</v>
      </c>
      <c r="N241">
        <v>1225.7909999999999</v>
      </c>
      <c r="O241">
        <v>509</v>
      </c>
      <c r="P241">
        <v>716.79099999999994</v>
      </c>
    </row>
    <row r="242" spans="1:16" x14ac:dyDescent="0.3">
      <c r="A242" s="1">
        <v>45717</v>
      </c>
      <c r="B242" s="2" t="s">
        <v>56</v>
      </c>
      <c r="C242" s="2" t="s">
        <v>57</v>
      </c>
      <c r="D242" s="2" t="s">
        <v>41</v>
      </c>
      <c r="E242" s="2" t="s">
        <v>51</v>
      </c>
      <c r="F242" s="2" t="s">
        <v>48</v>
      </c>
      <c r="G242" s="2" t="s">
        <v>86</v>
      </c>
      <c r="H242">
        <v>1</v>
      </c>
      <c r="I242">
        <v>19</v>
      </c>
      <c r="J242">
        <v>124.73</v>
      </c>
      <c r="K242">
        <v>0</v>
      </c>
      <c r="L242">
        <v>63</v>
      </c>
      <c r="M242">
        <v>2369.87</v>
      </c>
      <c r="N242">
        <v>2369.87</v>
      </c>
      <c r="O242">
        <v>1197</v>
      </c>
      <c r="P242">
        <v>1172.8699999999999</v>
      </c>
    </row>
    <row r="243" spans="1:16" x14ac:dyDescent="0.3">
      <c r="A243" s="1">
        <v>45717</v>
      </c>
      <c r="B243" s="2" t="s">
        <v>75</v>
      </c>
      <c r="C243" s="2" t="s">
        <v>106</v>
      </c>
      <c r="D243" s="2" t="s">
        <v>46</v>
      </c>
      <c r="E243" s="2" t="s">
        <v>51</v>
      </c>
      <c r="F243" s="2" t="s">
        <v>48</v>
      </c>
      <c r="G243" s="2" t="s">
        <v>107</v>
      </c>
      <c r="H243">
        <v>1</v>
      </c>
      <c r="I243">
        <v>18</v>
      </c>
      <c r="J243">
        <v>22.16</v>
      </c>
      <c r="K243">
        <v>0.08</v>
      </c>
      <c r="L243">
        <v>8</v>
      </c>
      <c r="M243">
        <v>398.88</v>
      </c>
      <c r="N243">
        <v>366.96960000000001</v>
      </c>
      <c r="O243">
        <v>144</v>
      </c>
      <c r="P243">
        <v>222.96960000000001</v>
      </c>
    </row>
    <row r="244" spans="1:16" x14ac:dyDescent="0.3">
      <c r="A244" s="1">
        <v>45717</v>
      </c>
      <c r="B244" s="2" t="s">
        <v>56</v>
      </c>
      <c r="C244" s="2" t="s">
        <v>57</v>
      </c>
      <c r="D244" s="2" t="s">
        <v>50</v>
      </c>
      <c r="E244" s="2" t="s">
        <v>42</v>
      </c>
      <c r="F244" s="2" t="s">
        <v>43</v>
      </c>
      <c r="G244" s="2" t="s">
        <v>160</v>
      </c>
      <c r="H244">
        <v>1</v>
      </c>
      <c r="I244">
        <v>1</v>
      </c>
      <c r="J244">
        <v>144.16</v>
      </c>
      <c r="K244">
        <v>0.1</v>
      </c>
      <c r="L244">
        <v>395</v>
      </c>
      <c r="M244">
        <v>144.16</v>
      </c>
      <c r="N244">
        <v>129.744</v>
      </c>
      <c r="O244">
        <v>395</v>
      </c>
      <c r="P244">
        <v>-265.25599999999997</v>
      </c>
    </row>
    <row r="245" spans="1:16" x14ac:dyDescent="0.3">
      <c r="A245" s="1">
        <v>45717</v>
      </c>
      <c r="B245" s="2" t="s">
        <v>56</v>
      </c>
      <c r="C245" s="2" t="s">
        <v>57</v>
      </c>
      <c r="D245" s="2" t="s">
        <v>50</v>
      </c>
      <c r="E245" s="2" t="s">
        <v>51</v>
      </c>
      <c r="F245" s="2" t="s">
        <v>52</v>
      </c>
      <c r="G245" s="2" t="s">
        <v>147</v>
      </c>
      <c r="H245">
        <v>1</v>
      </c>
      <c r="I245">
        <v>11</v>
      </c>
      <c r="J245">
        <v>196.99</v>
      </c>
      <c r="K245">
        <v>0.08</v>
      </c>
      <c r="L245">
        <v>124</v>
      </c>
      <c r="M245">
        <v>2166.8900000000003</v>
      </c>
      <c r="N245">
        <v>1993.5388000000005</v>
      </c>
      <c r="O245">
        <v>1364</v>
      </c>
      <c r="P245">
        <v>629.53880000000049</v>
      </c>
    </row>
    <row r="246" spans="1:16" x14ac:dyDescent="0.3">
      <c r="A246" s="1">
        <v>45717</v>
      </c>
      <c r="B246" s="2" t="s">
        <v>56</v>
      </c>
      <c r="C246" s="2" t="s">
        <v>57</v>
      </c>
      <c r="D246" s="2" t="s">
        <v>50</v>
      </c>
      <c r="E246" s="2" t="s">
        <v>51</v>
      </c>
      <c r="F246" s="2" t="s">
        <v>48</v>
      </c>
      <c r="G246" s="2" t="s">
        <v>147</v>
      </c>
      <c r="H246">
        <v>1</v>
      </c>
      <c r="I246">
        <v>6</v>
      </c>
      <c r="J246">
        <v>65.8</v>
      </c>
      <c r="K246">
        <v>0.12</v>
      </c>
      <c r="L246">
        <v>31</v>
      </c>
      <c r="M246">
        <v>394.79999999999995</v>
      </c>
      <c r="N246">
        <v>347.42399999999998</v>
      </c>
      <c r="O246">
        <v>186</v>
      </c>
      <c r="P246">
        <v>161.42399999999998</v>
      </c>
    </row>
    <row r="247" spans="1:16" x14ac:dyDescent="0.3">
      <c r="A247" s="1">
        <v>45717</v>
      </c>
      <c r="B247" s="2" t="s">
        <v>56</v>
      </c>
      <c r="C247" s="2" t="s">
        <v>57</v>
      </c>
      <c r="D247" s="2" t="s">
        <v>50</v>
      </c>
      <c r="E247" s="2" t="s">
        <v>51</v>
      </c>
      <c r="F247" s="2" t="s">
        <v>43</v>
      </c>
      <c r="G247" s="2" t="s">
        <v>147</v>
      </c>
      <c r="H247">
        <v>1</v>
      </c>
      <c r="I247">
        <v>4</v>
      </c>
      <c r="J247">
        <v>156.02000000000001</v>
      </c>
      <c r="K247">
        <v>0.12</v>
      </c>
      <c r="L247">
        <v>86</v>
      </c>
      <c r="M247">
        <v>624.08000000000004</v>
      </c>
      <c r="N247">
        <v>549.19040000000007</v>
      </c>
      <c r="O247">
        <v>344</v>
      </c>
      <c r="P247">
        <v>205.19040000000007</v>
      </c>
    </row>
    <row r="248" spans="1:16" x14ac:dyDescent="0.3">
      <c r="A248" s="1">
        <v>45717</v>
      </c>
      <c r="B248" s="2" t="s">
        <v>39</v>
      </c>
      <c r="C248" s="2" t="s">
        <v>40</v>
      </c>
      <c r="D248" s="2" t="s">
        <v>50</v>
      </c>
      <c r="E248" s="2" t="s">
        <v>42</v>
      </c>
      <c r="F248" s="2" t="s">
        <v>48</v>
      </c>
      <c r="G248" s="2" t="s">
        <v>82</v>
      </c>
      <c r="H248">
        <v>1</v>
      </c>
      <c r="I248">
        <v>3</v>
      </c>
      <c r="J248">
        <v>23.57</v>
      </c>
      <c r="K248">
        <v>0.1</v>
      </c>
      <c r="L248">
        <v>8</v>
      </c>
      <c r="M248">
        <v>70.710000000000008</v>
      </c>
      <c r="N248">
        <v>63.63900000000001</v>
      </c>
      <c r="O248">
        <v>24</v>
      </c>
      <c r="P248">
        <v>39.63900000000001</v>
      </c>
    </row>
    <row r="249" spans="1:16" x14ac:dyDescent="0.3">
      <c r="A249" s="1">
        <v>45717</v>
      </c>
      <c r="B249" s="2" t="s">
        <v>39</v>
      </c>
      <c r="C249" s="2" t="s">
        <v>45</v>
      </c>
      <c r="D249" s="2" t="s">
        <v>41</v>
      </c>
      <c r="E249" s="2" t="s">
        <v>42</v>
      </c>
      <c r="F249" s="2" t="s">
        <v>48</v>
      </c>
      <c r="G249" s="2" t="s">
        <v>183</v>
      </c>
      <c r="H249">
        <v>1</v>
      </c>
      <c r="I249">
        <v>4</v>
      </c>
      <c r="J249">
        <v>140.19999999999999</v>
      </c>
      <c r="K249">
        <v>0</v>
      </c>
      <c r="L249">
        <v>63</v>
      </c>
      <c r="M249">
        <v>560.79999999999995</v>
      </c>
      <c r="N249">
        <v>560.79999999999995</v>
      </c>
      <c r="O249">
        <v>252</v>
      </c>
      <c r="P249">
        <v>308.79999999999995</v>
      </c>
    </row>
    <row r="250" spans="1:16" x14ac:dyDescent="0.3">
      <c r="A250" s="1">
        <v>45717</v>
      </c>
      <c r="B250" s="2" t="s">
        <v>39</v>
      </c>
      <c r="C250" s="2" t="s">
        <v>45</v>
      </c>
      <c r="D250" s="2" t="s">
        <v>41</v>
      </c>
      <c r="E250" s="2" t="s">
        <v>42</v>
      </c>
      <c r="F250" s="2" t="s">
        <v>43</v>
      </c>
      <c r="G250" s="2" t="s">
        <v>183</v>
      </c>
      <c r="H250">
        <v>1</v>
      </c>
      <c r="I250">
        <v>2</v>
      </c>
      <c r="J250">
        <v>178.43</v>
      </c>
      <c r="K250">
        <v>0</v>
      </c>
      <c r="L250">
        <v>86</v>
      </c>
      <c r="M250">
        <v>356.86</v>
      </c>
      <c r="N250">
        <v>356.86</v>
      </c>
      <c r="O250">
        <v>172</v>
      </c>
      <c r="P250">
        <v>184.86</v>
      </c>
    </row>
    <row r="251" spans="1:16" x14ac:dyDescent="0.3">
      <c r="A251" s="1">
        <v>45717</v>
      </c>
      <c r="B251" s="2" t="s">
        <v>83</v>
      </c>
      <c r="C251" s="2" t="s">
        <v>84</v>
      </c>
      <c r="D251" s="2" t="s">
        <v>46</v>
      </c>
      <c r="E251" s="2" t="s">
        <v>51</v>
      </c>
      <c r="F251" s="2" t="s">
        <v>43</v>
      </c>
      <c r="G251" s="2" t="s">
        <v>90</v>
      </c>
      <c r="H251">
        <v>1</v>
      </c>
      <c r="I251">
        <v>10</v>
      </c>
      <c r="J251">
        <v>160.13</v>
      </c>
      <c r="K251">
        <v>0.12</v>
      </c>
      <c r="L251">
        <v>86</v>
      </c>
      <c r="M251">
        <v>1601.3</v>
      </c>
      <c r="N251">
        <v>1409.144</v>
      </c>
      <c r="O251">
        <v>860</v>
      </c>
      <c r="P251">
        <v>549.14400000000001</v>
      </c>
    </row>
    <row r="252" spans="1:16" x14ac:dyDescent="0.3">
      <c r="A252" s="1">
        <v>45717</v>
      </c>
      <c r="B252" s="2" t="s">
        <v>56</v>
      </c>
      <c r="C252" s="2" t="s">
        <v>62</v>
      </c>
      <c r="D252" s="2" t="s">
        <v>46</v>
      </c>
      <c r="E252" s="2" t="s">
        <v>42</v>
      </c>
      <c r="F252" s="2" t="s">
        <v>48</v>
      </c>
      <c r="G252" s="2" t="s">
        <v>63</v>
      </c>
      <c r="H252">
        <v>1</v>
      </c>
      <c r="I252">
        <v>2</v>
      </c>
      <c r="J252">
        <v>131.78</v>
      </c>
      <c r="K252">
        <v>0.08</v>
      </c>
      <c r="L252">
        <v>63</v>
      </c>
      <c r="M252">
        <v>263.56</v>
      </c>
      <c r="N252">
        <v>242.4752</v>
      </c>
      <c r="O252">
        <v>126</v>
      </c>
      <c r="P252">
        <v>116.4752</v>
      </c>
    </row>
    <row r="253" spans="1:16" x14ac:dyDescent="0.3">
      <c r="A253" s="1">
        <v>45717</v>
      </c>
      <c r="B253" s="2" t="s">
        <v>56</v>
      </c>
      <c r="C253" s="2" t="s">
        <v>62</v>
      </c>
      <c r="D253" s="2" t="s">
        <v>46</v>
      </c>
      <c r="E253" s="2" t="s">
        <v>42</v>
      </c>
      <c r="F253" s="2" t="s">
        <v>43</v>
      </c>
      <c r="G253" s="2" t="s">
        <v>63</v>
      </c>
      <c r="H253">
        <v>2</v>
      </c>
      <c r="I253">
        <v>3</v>
      </c>
      <c r="J253">
        <v>382.26</v>
      </c>
      <c r="K253">
        <v>0.125</v>
      </c>
      <c r="L253">
        <v>240.5</v>
      </c>
      <c r="M253">
        <v>937.76</v>
      </c>
      <c r="N253">
        <v>814.42000000000007</v>
      </c>
      <c r="O253">
        <v>567</v>
      </c>
      <c r="P253">
        <v>247.42000000000002</v>
      </c>
    </row>
    <row r="254" spans="1:16" x14ac:dyDescent="0.3">
      <c r="A254" s="1">
        <v>45717</v>
      </c>
      <c r="B254" s="2" t="s">
        <v>39</v>
      </c>
      <c r="C254" s="2" t="s">
        <v>78</v>
      </c>
      <c r="D254" s="2" t="s">
        <v>50</v>
      </c>
      <c r="E254" s="2" t="s">
        <v>47</v>
      </c>
      <c r="F254" s="2" t="s">
        <v>48</v>
      </c>
      <c r="G254" s="2" t="s">
        <v>163</v>
      </c>
      <c r="H254">
        <v>1</v>
      </c>
      <c r="I254">
        <v>1</v>
      </c>
      <c r="J254">
        <v>97.9</v>
      </c>
      <c r="K254">
        <v>0.08</v>
      </c>
      <c r="L254">
        <v>39</v>
      </c>
      <c r="M254">
        <v>97.9</v>
      </c>
      <c r="N254">
        <v>90.068000000000012</v>
      </c>
      <c r="O254">
        <v>39</v>
      </c>
      <c r="P254">
        <v>51.068000000000012</v>
      </c>
    </row>
    <row r="255" spans="1:16" x14ac:dyDescent="0.3">
      <c r="A255" s="1">
        <v>45717</v>
      </c>
      <c r="B255" s="2" t="s">
        <v>39</v>
      </c>
      <c r="C255" s="2" t="s">
        <v>40</v>
      </c>
      <c r="D255" s="2" t="s">
        <v>46</v>
      </c>
      <c r="E255" s="2" t="s">
        <v>47</v>
      </c>
      <c r="F255" s="2" t="s">
        <v>43</v>
      </c>
      <c r="G255" s="2" t="s">
        <v>167</v>
      </c>
      <c r="H255">
        <v>1</v>
      </c>
      <c r="I255">
        <v>2</v>
      </c>
      <c r="J255">
        <v>1189.4100000000001</v>
      </c>
      <c r="K255">
        <v>0.12</v>
      </c>
      <c r="L255">
        <v>760</v>
      </c>
      <c r="M255">
        <v>2378.8200000000002</v>
      </c>
      <c r="N255">
        <v>2093.3616000000002</v>
      </c>
      <c r="O255">
        <v>1520</v>
      </c>
      <c r="P255">
        <v>573.36160000000018</v>
      </c>
    </row>
    <row r="256" spans="1:16" x14ac:dyDescent="0.3">
      <c r="A256" s="1">
        <v>45992</v>
      </c>
      <c r="B256" s="2" t="s">
        <v>70</v>
      </c>
      <c r="C256" s="2" t="s">
        <v>45</v>
      </c>
      <c r="D256" s="2" t="s">
        <v>50</v>
      </c>
      <c r="E256" s="2" t="s">
        <v>42</v>
      </c>
      <c r="F256" s="2" t="s">
        <v>52</v>
      </c>
      <c r="G256" s="2" t="s">
        <v>71</v>
      </c>
      <c r="H256">
        <v>2</v>
      </c>
      <c r="I256">
        <v>4</v>
      </c>
      <c r="J256">
        <v>129.17500000000001</v>
      </c>
      <c r="K256">
        <v>6.5000000000000002E-2</v>
      </c>
      <c r="L256">
        <v>71</v>
      </c>
      <c r="M256">
        <v>686.43000000000006</v>
      </c>
      <c r="N256">
        <v>632.84490000000005</v>
      </c>
      <c r="O256">
        <v>390</v>
      </c>
      <c r="P256">
        <v>242.84490000000002</v>
      </c>
    </row>
    <row r="257" spans="1:16" x14ac:dyDescent="0.3">
      <c r="A257" s="1">
        <v>45717</v>
      </c>
      <c r="B257" s="2" t="s">
        <v>65</v>
      </c>
      <c r="C257" s="2" t="s">
        <v>66</v>
      </c>
      <c r="D257" s="2" t="s">
        <v>50</v>
      </c>
      <c r="E257" s="2" t="s">
        <v>42</v>
      </c>
      <c r="F257" s="2" t="s">
        <v>43</v>
      </c>
      <c r="G257" s="2" t="s">
        <v>49</v>
      </c>
      <c r="H257">
        <v>1</v>
      </c>
      <c r="I257">
        <v>2</v>
      </c>
      <c r="J257">
        <v>629.47</v>
      </c>
      <c r="K257">
        <v>0.12</v>
      </c>
      <c r="L257">
        <v>395</v>
      </c>
      <c r="M257">
        <v>1258.94</v>
      </c>
      <c r="N257">
        <v>1107.8672000000001</v>
      </c>
      <c r="O257">
        <v>790</v>
      </c>
      <c r="P257">
        <v>317.86720000000014</v>
      </c>
    </row>
    <row r="258" spans="1:16" x14ac:dyDescent="0.3">
      <c r="A258" s="1">
        <v>45717</v>
      </c>
      <c r="B258" s="2" t="s">
        <v>56</v>
      </c>
      <c r="C258" s="2" t="s">
        <v>57</v>
      </c>
      <c r="D258" s="2" t="s">
        <v>50</v>
      </c>
      <c r="E258" s="2" t="s">
        <v>51</v>
      </c>
      <c r="F258" s="2" t="s">
        <v>48</v>
      </c>
      <c r="G258" s="2" t="s">
        <v>150</v>
      </c>
      <c r="H258">
        <v>1</v>
      </c>
      <c r="I258">
        <v>1</v>
      </c>
      <c r="J258">
        <v>21.73</v>
      </c>
      <c r="K258">
        <v>0.1</v>
      </c>
      <c r="L258">
        <v>8</v>
      </c>
      <c r="M258">
        <v>21.73</v>
      </c>
      <c r="N258">
        <v>19.557000000000002</v>
      </c>
      <c r="O258">
        <v>8</v>
      </c>
      <c r="P258">
        <v>11.557000000000002</v>
      </c>
    </row>
    <row r="259" spans="1:16" x14ac:dyDescent="0.3">
      <c r="A259" s="1">
        <v>45717</v>
      </c>
      <c r="B259" s="2" t="s">
        <v>56</v>
      </c>
      <c r="C259" s="2" t="s">
        <v>57</v>
      </c>
      <c r="D259" s="2" t="s">
        <v>50</v>
      </c>
      <c r="E259" s="2" t="s">
        <v>42</v>
      </c>
      <c r="F259" s="2" t="s">
        <v>48</v>
      </c>
      <c r="G259" s="2" t="s">
        <v>147</v>
      </c>
      <c r="H259">
        <v>1</v>
      </c>
      <c r="I259">
        <v>2</v>
      </c>
      <c r="J259">
        <v>23</v>
      </c>
      <c r="K259">
        <v>0.08</v>
      </c>
      <c r="L259">
        <v>8</v>
      </c>
      <c r="M259">
        <v>46</v>
      </c>
      <c r="N259">
        <v>42.32</v>
      </c>
      <c r="O259">
        <v>16</v>
      </c>
      <c r="P259">
        <v>26.32</v>
      </c>
    </row>
    <row r="260" spans="1:16" x14ac:dyDescent="0.3">
      <c r="A260" s="1">
        <v>45717</v>
      </c>
      <c r="B260" s="2" t="s">
        <v>39</v>
      </c>
      <c r="C260" s="2" t="s">
        <v>92</v>
      </c>
      <c r="D260" s="2" t="s">
        <v>46</v>
      </c>
      <c r="E260" s="2" t="s">
        <v>42</v>
      </c>
      <c r="F260" s="2" t="s">
        <v>43</v>
      </c>
      <c r="G260" s="2" t="s">
        <v>184</v>
      </c>
      <c r="H260">
        <v>3</v>
      </c>
      <c r="I260">
        <v>6</v>
      </c>
      <c r="J260">
        <v>706.85</v>
      </c>
      <c r="K260">
        <v>0.10666666666666666</v>
      </c>
      <c r="L260">
        <v>455.33333333333331</v>
      </c>
      <c r="M260">
        <v>3614.5699999999997</v>
      </c>
      <c r="N260">
        <v>3201.7471999999998</v>
      </c>
      <c r="O260">
        <v>2298</v>
      </c>
      <c r="P260">
        <v>903.74720000000002</v>
      </c>
    </row>
    <row r="261" spans="1:16" x14ac:dyDescent="0.3">
      <c r="A261" s="1">
        <v>45717</v>
      </c>
      <c r="B261" s="2" t="s">
        <v>39</v>
      </c>
      <c r="C261" s="2" t="s">
        <v>152</v>
      </c>
      <c r="D261" s="2" t="s">
        <v>41</v>
      </c>
      <c r="E261" s="2" t="s">
        <v>51</v>
      </c>
      <c r="F261" s="2" t="s">
        <v>48</v>
      </c>
      <c r="G261" s="2" t="s">
        <v>153</v>
      </c>
      <c r="H261">
        <v>1</v>
      </c>
      <c r="I261">
        <v>18</v>
      </c>
      <c r="J261">
        <v>128.91</v>
      </c>
      <c r="K261">
        <v>0</v>
      </c>
      <c r="L261">
        <v>63</v>
      </c>
      <c r="M261">
        <v>2320.38</v>
      </c>
      <c r="N261">
        <v>2320.38</v>
      </c>
      <c r="O261">
        <v>1134</v>
      </c>
      <c r="P261">
        <v>1186.3800000000001</v>
      </c>
    </row>
    <row r="262" spans="1:16" x14ac:dyDescent="0.3">
      <c r="A262" s="1">
        <v>45717</v>
      </c>
      <c r="B262" s="2" t="s">
        <v>39</v>
      </c>
      <c r="C262" s="2" t="s">
        <v>152</v>
      </c>
      <c r="D262" s="2" t="s">
        <v>41</v>
      </c>
      <c r="E262" s="2" t="s">
        <v>51</v>
      </c>
      <c r="F262" s="2" t="s">
        <v>43</v>
      </c>
      <c r="G262" s="2" t="s">
        <v>153</v>
      </c>
      <c r="H262">
        <v>2</v>
      </c>
      <c r="I262">
        <v>18</v>
      </c>
      <c r="J262">
        <v>268.29000000000002</v>
      </c>
      <c r="K262">
        <v>0</v>
      </c>
      <c r="L262">
        <v>182</v>
      </c>
      <c r="M262">
        <v>4829.22</v>
      </c>
      <c r="N262">
        <v>4829.22</v>
      </c>
      <c r="O262">
        <v>3276</v>
      </c>
      <c r="P262">
        <v>1553.2200000000003</v>
      </c>
    </row>
    <row r="263" spans="1:16" x14ac:dyDescent="0.3">
      <c r="A263" s="1">
        <v>45717</v>
      </c>
      <c r="B263" s="2" t="s">
        <v>83</v>
      </c>
      <c r="C263" s="2" t="s">
        <v>126</v>
      </c>
      <c r="D263" s="2" t="s">
        <v>46</v>
      </c>
      <c r="E263" s="2" t="s">
        <v>42</v>
      </c>
      <c r="F263" s="2" t="s">
        <v>48</v>
      </c>
      <c r="G263" s="2" t="s">
        <v>127</v>
      </c>
      <c r="H263">
        <v>1</v>
      </c>
      <c r="I263">
        <v>4</v>
      </c>
      <c r="J263">
        <v>71.12</v>
      </c>
      <c r="K263">
        <v>0.05</v>
      </c>
      <c r="L263">
        <v>31</v>
      </c>
      <c r="M263">
        <v>284.48</v>
      </c>
      <c r="N263">
        <v>270.25600000000003</v>
      </c>
      <c r="O263">
        <v>124</v>
      </c>
      <c r="P263">
        <v>146.25600000000003</v>
      </c>
    </row>
    <row r="264" spans="1:16" x14ac:dyDescent="0.3">
      <c r="A264" s="1">
        <v>45717</v>
      </c>
      <c r="B264" s="2" t="s">
        <v>39</v>
      </c>
      <c r="C264" s="2" t="s">
        <v>88</v>
      </c>
      <c r="D264" s="2" t="s">
        <v>50</v>
      </c>
      <c r="E264" s="2" t="s">
        <v>42</v>
      </c>
      <c r="F264" s="2" t="s">
        <v>52</v>
      </c>
      <c r="G264" s="2" t="s">
        <v>185</v>
      </c>
      <c r="H264">
        <v>1</v>
      </c>
      <c r="I264">
        <v>3</v>
      </c>
      <c r="J264">
        <v>42.16</v>
      </c>
      <c r="K264">
        <v>0.1</v>
      </c>
      <c r="L264">
        <v>18</v>
      </c>
      <c r="M264">
        <v>126.47999999999999</v>
      </c>
      <c r="N264">
        <v>113.83199999999999</v>
      </c>
      <c r="O264">
        <v>54</v>
      </c>
      <c r="P264">
        <v>59.831999999999994</v>
      </c>
    </row>
    <row r="265" spans="1:16" x14ac:dyDescent="0.3">
      <c r="A265" s="1">
        <v>45717</v>
      </c>
      <c r="B265" s="2" t="s">
        <v>39</v>
      </c>
      <c r="C265" s="2" t="s">
        <v>88</v>
      </c>
      <c r="D265" s="2" t="s">
        <v>50</v>
      </c>
      <c r="E265" s="2" t="s">
        <v>42</v>
      </c>
      <c r="F265" s="2" t="s">
        <v>43</v>
      </c>
      <c r="G265" s="2" t="s">
        <v>185</v>
      </c>
      <c r="H265">
        <v>1</v>
      </c>
      <c r="I265">
        <v>3</v>
      </c>
      <c r="J265">
        <v>859.38</v>
      </c>
      <c r="K265">
        <v>0.1</v>
      </c>
      <c r="L265">
        <v>520</v>
      </c>
      <c r="M265">
        <v>2578.14</v>
      </c>
      <c r="N265">
        <v>2320.326</v>
      </c>
      <c r="O265">
        <v>1560</v>
      </c>
      <c r="P265">
        <v>760.32600000000002</v>
      </c>
    </row>
    <row r="266" spans="1:16" x14ac:dyDescent="0.3">
      <c r="A266" s="1">
        <v>45717</v>
      </c>
      <c r="B266" s="2" t="s">
        <v>39</v>
      </c>
      <c r="C266" s="2" t="s">
        <v>45</v>
      </c>
      <c r="D266" s="2" t="s">
        <v>46</v>
      </c>
      <c r="E266" s="2" t="s">
        <v>47</v>
      </c>
      <c r="F266" s="2" t="s">
        <v>48</v>
      </c>
      <c r="G266" s="2" t="s">
        <v>90</v>
      </c>
      <c r="H266">
        <v>2</v>
      </c>
      <c r="I266">
        <v>8</v>
      </c>
      <c r="J266">
        <v>140.82999999999998</v>
      </c>
      <c r="K266">
        <v>0.1</v>
      </c>
      <c r="L266">
        <v>63</v>
      </c>
      <c r="M266">
        <v>1131.4000000000001</v>
      </c>
      <c r="N266">
        <v>1024.2740000000001</v>
      </c>
      <c r="O266">
        <v>504</v>
      </c>
      <c r="P266">
        <v>520.27400000000011</v>
      </c>
    </row>
    <row r="267" spans="1:16" x14ac:dyDescent="0.3">
      <c r="A267" s="1">
        <v>45717</v>
      </c>
      <c r="B267" s="2" t="s">
        <v>39</v>
      </c>
      <c r="C267" s="2" t="s">
        <v>88</v>
      </c>
      <c r="D267" s="2" t="s">
        <v>50</v>
      </c>
      <c r="E267" s="2" t="s">
        <v>47</v>
      </c>
      <c r="F267" s="2" t="s">
        <v>43</v>
      </c>
      <c r="G267" s="2" t="s">
        <v>186</v>
      </c>
      <c r="H267">
        <v>1</v>
      </c>
      <c r="I267">
        <v>3</v>
      </c>
      <c r="J267">
        <v>1201.07</v>
      </c>
      <c r="K267">
        <v>0.1</v>
      </c>
      <c r="L267">
        <v>760</v>
      </c>
      <c r="M267">
        <v>3603.21</v>
      </c>
      <c r="N267">
        <v>3242.8890000000001</v>
      </c>
      <c r="O267">
        <v>2280</v>
      </c>
      <c r="P267">
        <v>962.88900000000012</v>
      </c>
    </row>
    <row r="268" spans="1:16" x14ac:dyDescent="0.3">
      <c r="A268" s="1">
        <v>45717</v>
      </c>
      <c r="B268" s="2" t="s">
        <v>39</v>
      </c>
      <c r="C268" s="2" t="s">
        <v>40</v>
      </c>
      <c r="D268" s="2" t="s">
        <v>41</v>
      </c>
      <c r="E268" s="2" t="s">
        <v>42</v>
      </c>
      <c r="F268" s="2" t="s">
        <v>43</v>
      </c>
      <c r="G268" s="2" t="s">
        <v>64</v>
      </c>
      <c r="H268">
        <v>2</v>
      </c>
      <c r="I268">
        <v>3</v>
      </c>
      <c r="J268">
        <v>453.01</v>
      </c>
      <c r="K268">
        <v>2.5000000000000001E-2</v>
      </c>
      <c r="L268">
        <v>287</v>
      </c>
      <c r="M268">
        <v>1012.27</v>
      </c>
      <c r="N268">
        <v>1001.645</v>
      </c>
      <c r="O268">
        <v>628</v>
      </c>
      <c r="P268">
        <v>373.64499999999998</v>
      </c>
    </row>
    <row r="269" spans="1:16" x14ac:dyDescent="0.3">
      <c r="A269" s="1">
        <v>45717</v>
      </c>
      <c r="B269" s="2" t="s">
        <v>83</v>
      </c>
      <c r="C269" s="2" t="s">
        <v>126</v>
      </c>
      <c r="D269" s="2" t="s">
        <v>46</v>
      </c>
      <c r="E269" s="2" t="s">
        <v>42</v>
      </c>
      <c r="F269" s="2" t="s">
        <v>43</v>
      </c>
      <c r="G269" s="2" t="s">
        <v>127</v>
      </c>
      <c r="H269">
        <v>1</v>
      </c>
      <c r="I269">
        <v>3</v>
      </c>
      <c r="J269">
        <v>1160.99</v>
      </c>
      <c r="K269">
        <v>0.12</v>
      </c>
      <c r="L269">
        <v>760</v>
      </c>
      <c r="M269">
        <v>3482.9700000000003</v>
      </c>
      <c r="N269">
        <v>3065.0136000000002</v>
      </c>
      <c r="O269">
        <v>2280</v>
      </c>
      <c r="P269">
        <v>785.01360000000022</v>
      </c>
    </row>
    <row r="270" spans="1:16" x14ac:dyDescent="0.3">
      <c r="A270" s="1">
        <v>45717</v>
      </c>
      <c r="B270" s="2" t="s">
        <v>56</v>
      </c>
      <c r="C270" s="2" t="s">
        <v>57</v>
      </c>
      <c r="D270" s="2" t="s">
        <v>41</v>
      </c>
      <c r="E270" s="2" t="s">
        <v>47</v>
      </c>
      <c r="F270" s="2" t="s">
        <v>43</v>
      </c>
      <c r="G270" s="2" t="s">
        <v>86</v>
      </c>
      <c r="H270">
        <v>1</v>
      </c>
      <c r="I270">
        <v>2</v>
      </c>
      <c r="J270">
        <v>872.1</v>
      </c>
      <c r="K270">
        <v>0.1</v>
      </c>
      <c r="L270">
        <v>520</v>
      </c>
      <c r="M270">
        <v>1744.2</v>
      </c>
      <c r="N270">
        <v>1569.78</v>
      </c>
      <c r="O270">
        <v>1040</v>
      </c>
      <c r="P270">
        <v>529.78</v>
      </c>
    </row>
    <row r="271" spans="1:16" x14ac:dyDescent="0.3">
      <c r="A271" s="1">
        <v>45717</v>
      </c>
      <c r="B271" s="2" t="s">
        <v>39</v>
      </c>
      <c r="C271" s="2" t="s">
        <v>92</v>
      </c>
      <c r="D271" s="2" t="s">
        <v>50</v>
      </c>
      <c r="E271" s="2" t="s">
        <v>42</v>
      </c>
      <c r="F271" s="2" t="s">
        <v>52</v>
      </c>
      <c r="G271" s="2" t="s">
        <v>130</v>
      </c>
      <c r="H271">
        <v>1</v>
      </c>
      <c r="I271">
        <v>1</v>
      </c>
      <c r="J271">
        <v>42</v>
      </c>
      <c r="K271">
        <v>0.08</v>
      </c>
      <c r="L271">
        <v>18</v>
      </c>
      <c r="M271">
        <v>42</v>
      </c>
      <c r="N271">
        <v>38.64</v>
      </c>
      <c r="O271">
        <v>18</v>
      </c>
      <c r="P271">
        <v>20.64</v>
      </c>
    </row>
    <row r="272" spans="1:16" x14ac:dyDescent="0.3">
      <c r="A272" s="1">
        <v>45717</v>
      </c>
      <c r="B272" s="2" t="s">
        <v>70</v>
      </c>
      <c r="C272" s="2" t="s">
        <v>45</v>
      </c>
      <c r="D272" s="2" t="s">
        <v>50</v>
      </c>
      <c r="E272" s="2" t="s">
        <v>42</v>
      </c>
      <c r="F272" s="2" t="s">
        <v>43</v>
      </c>
      <c r="G272" s="2" t="s">
        <v>71</v>
      </c>
      <c r="H272">
        <v>1</v>
      </c>
      <c r="I272">
        <v>3</v>
      </c>
      <c r="J272">
        <v>1144.95</v>
      </c>
      <c r="K272">
        <v>0.12</v>
      </c>
      <c r="L272">
        <v>760</v>
      </c>
      <c r="M272">
        <v>3434.8500000000004</v>
      </c>
      <c r="N272">
        <v>3022.6680000000001</v>
      </c>
      <c r="O272">
        <v>2280</v>
      </c>
      <c r="P272">
        <v>742.66800000000012</v>
      </c>
    </row>
    <row r="273" spans="1:16" x14ac:dyDescent="0.3">
      <c r="A273" s="1">
        <v>45717</v>
      </c>
      <c r="B273" s="2" t="s">
        <v>83</v>
      </c>
      <c r="C273" s="2" t="s">
        <v>126</v>
      </c>
      <c r="D273" s="2" t="s">
        <v>46</v>
      </c>
      <c r="E273" s="2" t="s">
        <v>47</v>
      </c>
      <c r="F273" s="2" t="s">
        <v>43</v>
      </c>
      <c r="G273" s="2" t="s">
        <v>127</v>
      </c>
      <c r="H273">
        <v>1</v>
      </c>
      <c r="I273">
        <v>4</v>
      </c>
      <c r="J273">
        <v>178.43</v>
      </c>
      <c r="K273">
        <v>0.08</v>
      </c>
      <c r="L273">
        <v>86</v>
      </c>
      <c r="M273">
        <v>713.72</v>
      </c>
      <c r="N273">
        <v>656.62240000000008</v>
      </c>
      <c r="O273">
        <v>344</v>
      </c>
      <c r="P273">
        <v>312.62240000000008</v>
      </c>
    </row>
    <row r="274" spans="1:16" x14ac:dyDescent="0.3">
      <c r="A274" s="1">
        <v>45717</v>
      </c>
      <c r="B274" s="2" t="s">
        <v>39</v>
      </c>
      <c r="C274" s="2" t="s">
        <v>92</v>
      </c>
      <c r="D274" s="2" t="s">
        <v>41</v>
      </c>
      <c r="E274" s="2" t="s">
        <v>42</v>
      </c>
      <c r="F274" s="2" t="s">
        <v>52</v>
      </c>
      <c r="G274" s="2" t="s">
        <v>187</v>
      </c>
      <c r="H274">
        <v>1</v>
      </c>
      <c r="I274">
        <v>3</v>
      </c>
      <c r="J274">
        <v>216.62</v>
      </c>
      <c r="K274">
        <v>0</v>
      </c>
      <c r="L274">
        <v>124</v>
      </c>
      <c r="M274">
        <v>649.86</v>
      </c>
      <c r="N274">
        <v>649.86</v>
      </c>
      <c r="O274">
        <v>372</v>
      </c>
      <c r="P274">
        <v>277.86</v>
      </c>
    </row>
    <row r="275" spans="1:16" x14ac:dyDescent="0.3">
      <c r="A275" s="1">
        <v>45717</v>
      </c>
      <c r="B275" s="2" t="s">
        <v>83</v>
      </c>
      <c r="C275" s="2" t="s">
        <v>84</v>
      </c>
      <c r="D275" s="2" t="s">
        <v>50</v>
      </c>
      <c r="E275" s="2" t="s">
        <v>42</v>
      </c>
      <c r="F275" s="2" t="s">
        <v>43</v>
      </c>
      <c r="G275" s="2" t="s">
        <v>85</v>
      </c>
      <c r="H275">
        <v>2</v>
      </c>
      <c r="I275">
        <v>6</v>
      </c>
      <c r="J275">
        <v>612.05999999999995</v>
      </c>
      <c r="K275">
        <v>7.5000000000000011E-2</v>
      </c>
      <c r="L275">
        <v>395</v>
      </c>
      <c r="M275">
        <v>3672.3599999999997</v>
      </c>
      <c r="N275">
        <v>3394.1475</v>
      </c>
      <c r="O275">
        <v>2370</v>
      </c>
      <c r="P275">
        <v>1024.1475</v>
      </c>
    </row>
    <row r="276" spans="1:16" x14ac:dyDescent="0.3">
      <c r="A276" s="1">
        <v>45717</v>
      </c>
      <c r="B276" s="2" t="s">
        <v>39</v>
      </c>
      <c r="C276" s="2" t="s">
        <v>45</v>
      </c>
      <c r="D276" s="2" t="s">
        <v>46</v>
      </c>
      <c r="E276" s="2" t="s">
        <v>42</v>
      </c>
      <c r="F276" s="2" t="s">
        <v>43</v>
      </c>
      <c r="G276" s="2" t="s">
        <v>90</v>
      </c>
      <c r="H276">
        <v>1</v>
      </c>
      <c r="I276">
        <v>3</v>
      </c>
      <c r="J276">
        <v>635.53</v>
      </c>
      <c r="K276">
        <v>0.1</v>
      </c>
      <c r="L276">
        <v>395</v>
      </c>
      <c r="M276">
        <v>1906.59</v>
      </c>
      <c r="N276">
        <v>1715.931</v>
      </c>
      <c r="O276">
        <v>1185</v>
      </c>
      <c r="P276">
        <v>530.93100000000004</v>
      </c>
    </row>
    <row r="277" spans="1:16" x14ac:dyDescent="0.3">
      <c r="A277" s="1">
        <v>45717</v>
      </c>
      <c r="B277" s="2" t="s">
        <v>39</v>
      </c>
      <c r="C277" s="2" t="s">
        <v>45</v>
      </c>
      <c r="D277" s="2" t="s">
        <v>46</v>
      </c>
      <c r="E277" s="2" t="s">
        <v>42</v>
      </c>
      <c r="F277" s="2" t="s">
        <v>48</v>
      </c>
      <c r="G277" s="2" t="s">
        <v>90</v>
      </c>
      <c r="H277">
        <v>1</v>
      </c>
      <c r="I277">
        <v>1</v>
      </c>
      <c r="J277">
        <v>23.86</v>
      </c>
      <c r="K277">
        <v>0.05</v>
      </c>
      <c r="L277">
        <v>8</v>
      </c>
      <c r="M277">
        <v>23.86</v>
      </c>
      <c r="N277">
        <v>22.666999999999998</v>
      </c>
      <c r="O277">
        <v>8</v>
      </c>
      <c r="P277">
        <v>14.666999999999998</v>
      </c>
    </row>
    <row r="278" spans="1:16" x14ac:dyDescent="0.3">
      <c r="A278" s="1">
        <v>45717</v>
      </c>
      <c r="B278" s="2" t="s">
        <v>65</v>
      </c>
      <c r="C278" s="2" t="s">
        <v>80</v>
      </c>
      <c r="D278" s="2" t="s">
        <v>50</v>
      </c>
      <c r="E278" s="2" t="s">
        <v>51</v>
      </c>
      <c r="F278" s="2" t="s">
        <v>43</v>
      </c>
      <c r="G278" s="2" t="s">
        <v>81</v>
      </c>
      <c r="H278">
        <v>1</v>
      </c>
      <c r="I278">
        <v>5</v>
      </c>
      <c r="J278">
        <v>754.57</v>
      </c>
      <c r="K278">
        <v>0.12</v>
      </c>
      <c r="L278">
        <v>520</v>
      </c>
      <c r="M278">
        <v>3772.8500000000004</v>
      </c>
      <c r="N278">
        <v>3320.1080000000002</v>
      </c>
      <c r="O278">
        <v>2600</v>
      </c>
      <c r="P278">
        <v>720.10800000000017</v>
      </c>
    </row>
    <row r="279" spans="1:16" x14ac:dyDescent="0.3">
      <c r="A279" s="1">
        <v>45717</v>
      </c>
      <c r="B279" s="2" t="s">
        <v>39</v>
      </c>
      <c r="C279" s="2" t="s">
        <v>88</v>
      </c>
      <c r="D279" s="2" t="s">
        <v>41</v>
      </c>
      <c r="E279" s="2" t="s">
        <v>47</v>
      </c>
      <c r="F279" s="2" t="s">
        <v>52</v>
      </c>
      <c r="G279" s="2" t="s">
        <v>181</v>
      </c>
      <c r="H279">
        <v>1</v>
      </c>
      <c r="I279">
        <v>2</v>
      </c>
      <c r="J279">
        <v>45.64</v>
      </c>
      <c r="K279">
        <v>0.05</v>
      </c>
      <c r="L279">
        <v>18</v>
      </c>
      <c r="M279">
        <v>91.28</v>
      </c>
      <c r="N279">
        <v>86.715999999999994</v>
      </c>
      <c r="O279">
        <v>36</v>
      </c>
      <c r="P279">
        <v>50.715999999999994</v>
      </c>
    </row>
    <row r="280" spans="1:16" x14ac:dyDescent="0.3">
      <c r="A280" s="1">
        <v>45717</v>
      </c>
      <c r="B280" s="2" t="s">
        <v>39</v>
      </c>
      <c r="C280" s="2" t="s">
        <v>45</v>
      </c>
      <c r="D280" s="2" t="s">
        <v>46</v>
      </c>
      <c r="E280" s="2" t="s">
        <v>47</v>
      </c>
      <c r="F280" s="2" t="s">
        <v>48</v>
      </c>
      <c r="G280" s="2" t="s">
        <v>188</v>
      </c>
      <c r="H280">
        <v>1</v>
      </c>
      <c r="I280">
        <v>1</v>
      </c>
      <c r="J280">
        <v>75.2</v>
      </c>
      <c r="K280">
        <v>0.12</v>
      </c>
      <c r="L280">
        <v>31</v>
      </c>
      <c r="M280">
        <v>75.2</v>
      </c>
      <c r="N280">
        <v>66.176000000000002</v>
      </c>
      <c r="O280">
        <v>31</v>
      </c>
      <c r="P280">
        <v>35.176000000000002</v>
      </c>
    </row>
    <row r="281" spans="1:16" x14ac:dyDescent="0.3">
      <c r="A281" s="1">
        <v>45717</v>
      </c>
      <c r="B281" s="2" t="s">
        <v>39</v>
      </c>
      <c r="C281" s="2" t="s">
        <v>40</v>
      </c>
      <c r="D281" s="2" t="s">
        <v>46</v>
      </c>
      <c r="E281" s="2" t="s">
        <v>42</v>
      </c>
      <c r="F281" s="2" t="s">
        <v>43</v>
      </c>
      <c r="G281" s="2" t="s">
        <v>141</v>
      </c>
      <c r="H281">
        <v>2</v>
      </c>
      <c r="I281">
        <v>2</v>
      </c>
      <c r="J281">
        <v>1130.1199999999999</v>
      </c>
      <c r="K281">
        <v>0.1</v>
      </c>
      <c r="L281">
        <v>1</v>
      </c>
      <c r="M281">
        <v>2260.2399999999998</v>
      </c>
      <c r="N281">
        <v>2034.2159999999999</v>
      </c>
      <c r="O281">
        <v>2</v>
      </c>
      <c r="P281">
        <v>2032.2159999999999</v>
      </c>
    </row>
    <row r="282" spans="1:16" x14ac:dyDescent="0.3">
      <c r="A282" s="1">
        <v>45717</v>
      </c>
      <c r="B282" s="2" t="s">
        <v>39</v>
      </c>
      <c r="C282" s="2" t="s">
        <v>40</v>
      </c>
      <c r="D282" s="2" t="s">
        <v>41</v>
      </c>
      <c r="E282" s="2" t="s">
        <v>42</v>
      </c>
      <c r="F282" s="2" t="s">
        <v>48</v>
      </c>
      <c r="G282" s="2" t="s">
        <v>44</v>
      </c>
      <c r="H282">
        <v>1</v>
      </c>
      <c r="I282">
        <v>1</v>
      </c>
      <c r="J282">
        <v>7514</v>
      </c>
      <c r="K282">
        <v>0</v>
      </c>
      <c r="L282">
        <v>31</v>
      </c>
      <c r="M282">
        <v>7514</v>
      </c>
      <c r="N282">
        <v>7514</v>
      </c>
      <c r="O282">
        <v>31</v>
      </c>
      <c r="P282">
        <v>7483</v>
      </c>
    </row>
    <row r="283" spans="1:16" x14ac:dyDescent="0.3">
      <c r="A283" s="1">
        <v>45717</v>
      </c>
      <c r="B283" s="2" t="s">
        <v>83</v>
      </c>
      <c r="C283" s="2" t="s">
        <v>84</v>
      </c>
      <c r="D283" s="2" t="s">
        <v>50</v>
      </c>
      <c r="E283" s="2" t="s">
        <v>42</v>
      </c>
      <c r="F283" s="2" t="s">
        <v>48</v>
      </c>
      <c r="G283" s="2" t="s">
        <v>85</v>
      </c>
      <c r="H283">
        <v>3</v>
      </c>
      <c r="I283">
        <v>7</v>
      </c>
      <c r="J283">
        <v>77.31</v>
      </c>
      <c r="K283">
        <v>9.3333333333333338E-2</v>
      </c>
      <c r="L283">
        <v>34</v>
      </c>
      <c r="M283">
        <v>374.26</v>
      </c>
      <c r="N283">
        <v>338.45280000000002</v>
      </c>
      <c r="O283">
        <v>157</v>
      </c>
      <c r="P283">
        <v>181.4528</v>
      </c>
    </row>
    <row r="284" spans="1:16" x14ac:dyDescent="0.3">
      <c r="A284" s="1">
        <v>45717</v>
      </c>
      <c r="B284" s="2" t="s">
        <v>39</v>
      </c>
      <c r="C284" s="2" t="s">
        <v>45</v>
      </c>
      <c r="D284" s="2" t="s">
        <v>41</v>
      </c>
      <c r="E284" s="2" t="s">
        <v>51</v>
      </c>
      <c r="F284" s="2" t="s">
        <v>52</v>
      </c>
      <c r="G284" s="2" t="s">
        <v>129</v>
      </c>
      <c r="H284">
        <v>1</v>
      </c>
      <c r="I284">
        <v>7</v>
      </c>
      <c r="J284">
        <v>198.48</v>
      </c>
      <c r="K284">
        <v>0</v>
      </c>
      <c r="L284">
        <v>124</v>
      </c>
      <c r="M284">
        <v>1389.36</v>
      </c>
      <c r="N284">
        <v>1389.36</v>
      </c>
      <c r="O284">
        <v>868</v>
      </c>
      <c r="P284">
        <v>521.3599999999999</v>
      </c>
    </row>
    <row r="285" spans="1:16" x14ac:dyDescent="0.3">
      <c r="A285" s="1">
        <v>45717</v>
      </c>
      <c r="B285" s="2" t="s">
        <v>39</v>
      </c>
      <c r="C285" s="2" t="s">
        <v>45</v>
      </c>
      <c r="D285" s="2" t="s">
        <v>41</v>
      </c>
      <c r="E285" s="2" t="s">
        <v>51</v>
      </c>
      <c r="F285" s="2" t="s">
        <v>43</v>
      </c>
      <c r="G285" s="2" t="s">
        <v>129</v>
      </c>
      <c r="H285">
        <v>1</v>
      </c>
      <c r="I285">
        <v>10</v>
      </c>
      <c r="J285">
        <v>1091.71</v>
      </c>
      <c r="K285">
        <v>0</v>
      </c>
      <c r="L285">
        <v>760</v>
      </c>
      <c r="M285">
        <v>10917.1</v>
      </c>
      <c r="N285">
        <v>10917.1</v>
      </c>
      <c r="O285">
        <v>7600</v>
      </c>
      <c r="P285">
        <v>3317.1000000000004</v>
      </c>
    </row>
    <row r="286" spans="1:16" x14ac:dyDescent="0.3">
      <c r="A286" s="1">
        <v>45717</v>
      </c>
      <c r="B286" s="2" t="s">
        <v>39</v>
      </c>
      <c r="C286" s="2" t="s">
        <v>40</v>
      </c>
      <c r="D286" s="2" t="s">
        <v>41</v>
      </c>
      <c r="E286" s="2" t="s">
        <v>42</v>
      </c>
      <c r="F286" s="2" t="s">
        <v>52</v>
      </c>
      <c r="G286" s="2" t="s">
        <v>189</v>
      </c>
      <c r="H286">
        <v>1</v>
      </c>
      <c r="I286">
        <v>2</v>
      </c>
      <c r="J286">
        <v>217.75</v>
      </c>
      <c r="K286">
        <v>0.05</v>
      </c>
      <c r="L286">
        <v>124</v>
      </c>
      <c r="M286">
        <v>435.5</v>
      </c>
      <c r="N286">
        <v>413.72499999999997</v>
      </c>
      <c r="O286">
        <v>248</v>
      </c>
      <c r="P286">
        <v>165.72499999999997</v>
      </c>
    </row>
    <row r="287" spans="1:16" x14ac:dyDescent="0.3">
      <c r="A287" s="1">
        <v>45717</v>
      </c>
      <c r="B287" s="2" t="s">
        <v>39</v>
      </c>
      <c r="C287" s="2" t="s">
        <v>45</v>
      </c>
      <c r="D287" s="2" t="s">
        <v>46</v>
      </c>
      <c r="E287" s="2" t="s">
        <v>42</v>
      </c>
      <c r="F287" s="2" t="s">
        <v>43</v>
      </c>
      <c r="G287" s="2" t="s">
        <v>49</v>
      </c>
      <c r="H287">
        <v>1</v>
      </c>
      <c r="I287">
        <v>1</v>
      </c>
      <c r="J287">
        <v>626.11</v>
      </c>
      <c r="K287">
        <v>0.1</v>
      </c>
      <c r="L287">
        <v>395</v>
      </c>
      <c r="M287">
        <v>626.11</v>
      </c>
      <c r="N287">
        <v>563.49900000000002</v>
      </c>
      <c r="O287">
        <v>395</v>
      </c>
      <c r="P287">
        <v>168.49900000000002</v>
      </c>
    </row>
    <row r="288" spans="1:16" x14ac:dyDescent="0.3">
      <c r="A288" s="1">
        <v>45717</v>
      </c>
      <c r="B288" s="2" t="s">
        <v>39</v>
      </c>
      <c r="C288" s="2" t="s">
        <v>45</v>
      </c>
      <c r="D288" s="2" t="s">
        <v>46</v>
      </c>
      <c r="E288" s="2" t="s">
        <v>42</v>
      </c>
      <c r="F288" s="2" t="s">
        <v>52</v>
      </c>
      <c r="G288" s="2" t="s">
        <v>49</v>
      </c>
      <c r="H288">
        <v>1</v>
      </c>
      <c r="I288">
        <v>1</v>
      </c>
      <c r="J288">
        <v>206.84</v>
      </c>
      <c r="K288">
        <v>0.08</v>
      </c>
      <c r="L288">
        <v>124</v>
      </c>
      <c r="M288">
        <v>206.84</v>
      </c>
      <c r="N288">
        <v>190.2928</v>
      </c>
      <c r="O288">
        <v>124</v>
      </c>
      <c r="P288">
        <v>66.2928</v>
      </c>
    </row>
    <row r="289" spans="1:16" x14ac:dyDescent="0.3">
      <c r="A289" s="1">
        <v>45717</v>
      </c>
      <c r="B289" s="2" t="s">
        <v>39</v>
      </c>
      <c r="C289" s="2" t="s">
        <v>78</v>
      </c>
      <c r="D289" s="2" t="s">
        <v>50</v>
      </c>
      <c r="E289" s="2" t="s">
        <v>42</v>
      </c>
      <c r="F289" s="2" t="s">
        <v>43</v>
      </c>
      <c r="G289" s="2" t="s">
        <v>190</v>
      </c>
      <c r="H289">
        <v>2</v>
      </c>
      <c r="I289">
        <v>6</v>
      </c>
      <c r="J289">
        <v>1174.5999999999999</v>
      </c>
      <c r="K289">
        <v>0.1</v>
      </c>
      <c r="L289">
        <v>760</v>
      </c>
      <c r="M289">
        <v>7047.6</v>
      </c>
      <c r="N289">
        <v>6339.7632000000003</v>
      </c>
      <c r="O289">
        <v>4560</v>
      </c>
      <c r="P289">
        <v>1779.7632000000003</v>
      </c>
    </row>
    <row r="290" spans="1:16" x14ac:dyDescent="0.3">
      <c r="A290" s="1">
        <v>45717</v>
      </c>
      <c r="B290" s="2" t="s">
        <v>83</v>
      </c>
      <c r="C290" s="2" t="s">
        <v>84</v>
      </c>
      <c r="D290" s="2" t="s">
        <v>46</v>
      </c>
      <c r="E290" s="2" t="s">
        <v>47</v>
      </c>
      <c r="F290" s="2" t="s">
        <v>48</v>
      </c>
      <c r="G290" s="2" t="s">
        <v>191</v>
      </c>
      <c r="H290">
        <v>1</v>
      </c>
      <c r="I290">
        <v>2</v>
      </c>
      <c r="J290">
        <v>94.05</v>
      </c>
      <c r="K290">
        <v>0.1</v>
      </c>
      <c r="L290">
        <v>39</v>
      </c>
      <c r="M290">
        <v>188.1</v>
      </c>
      <c r="N290">
        <v>169.29</v>
      </c>
      <c r="O290">
        <v>78</v>
      </c>
      <c r="P290">
        <v>91.289999999999992</v>
      </c>
    </row>
    <row r="291" spans="1:16" x14ac:dyDescent="0.3">
      <c r="A291" s="1">
        <v>45717</v>
      </c>
      <c r="B291" s="2" t="s">
        <v>83</v>
      </c>
      <c r="C291" s="2" t="s">
        <v>84</v>
      </c>
      <c r="D291" s="2" t="s">
        <v>46</v>
      </c>
      <c r="E291" s="2" t="s">
        <v>47</v>
      </c>
      <c r="F291" s="2" t="s">
        <v>43</v>
      </c>
      <c r="G291" s="2" t="s">
        <v>191</v>
      </c>
      <c r="H291">
        <v>1</v>
      </c>
      <c r="I291">
        <v>1</v>
      </c>
      <c r="J291">
        <v>877.36</v>
      </c>
      <c r="K291">
        <v>0.08</v>
      </c>
      <c r="L291">
        <v>520</v>
      </c>
      <c r="M291">
        <v>877.36</v>
      </c>
      <c r="N291">
        <v>807.1712</v>
      </c>
      <c r="O291">
        <v>520</v>
      </c>
      <c r="P291">
        <v>287.1712</v>
      </c>
    </row>
    <row r="292" spans="1:16" x14ac:dyDescent="0.3">
      <c r="A292" s="1">
        <v>45717</v>
      </c>
      <c r="B292" s="2" t="s">
        <v>39</v>
      </c>
      <c r="C292" s="2" t="s">
        <v>92</v>
      </c>
      <c r="D292" s="2" t="s">
        <v>50</v>
      </c>
      <c r="E292" s="2" t="s">
        <v>42</v>
      </c>
      <c r="F292" s="2" t="s">
        <v>48</v>
      </c>
      <c r="G292" s="2" t="s">
        <v>160</v>
      </c>
      <c r="H292">
        <v>1</v>
      </c>
      <c r="I292">
        <v>3</v>
      </c>
      <c r="J292">
        <v>23</v>
      </c>
      <c r="K292">
        <v>0</v>
      </c>
      <c r="L292">
        <v>8</v>
      </c>
      <c r="M292">
        <v>69</v>
      </c>
      <c r="N292">
        <v>69</v>
      </c>
      <c r="O292">
        <v>24</v>
      </c>
      <c r="P292">
        <v>45</v>
      </c>
    </row>
    <row r="293" spans="1:16" x14ac:dyDescent="0.3">
      <c r="A293" s="1">
        <v>45717</v>
      </c>
      <c r="B293" s="2" t="s">
        <v>75</v>
      </c>
      <c r="C293" s="2" t="s">
        <v>76</v>
      </c>
      <c r="D293" s="2" t="s">
        <v>46</v>
      </c>
      <c r="E293" s="2" t="s">
        <v>42</v>
      </c>
      <c r="F293" s="2" t="s">
        <v>48</v>
      </c>
      <c r="G293" s="2" t="s">
        <v>77</v>
      </c>
      <c r="H293">
        <v>1</v>
      </c>
      <c r="I293">
        <v>4</v>
      </c>
      <c r="J293">
        <v>92.07</v>
      </c>
      <c r="K293">
        <v>0.08</v>
      </c>
      <c r="L293">
        <v>39</v>
      </c>
      <c r="M293">
        <v>368.28</v>
      </c>
      <c r="N293">
        <v>338.81759999999997</v>
      </c>
      <c r="O293">
        <v>156</v>
      </c>
      <c r="P293">
        <v>182.81759999999997</v>
      </c>
    </row>
    <row r="294" spans="1:16" x14ac:dyDescent="0.3">
      <c r="A294" s="1">
        <v>45717</v>
      </c>
      <c r="B294" s="2" t="s">
        <v>39</v>
      </c>
      <c r="C294" s="2" t="s">
        <v>40</v>
      </c>
      <c r="D294" s="2" t="s">
        <v>41</v>
      </c>
      <c r="E294" s="2" t="s">
        <v>42</v>
      </c>
      <c r="F294" s="2" t="s">
        <v>52</v>
      </c>
      <c r="G294" s="2" t="s">
        <v>144</v>
      </c>
      <c r="H294">
        <v>1</v>
      </c>
      <c r="I294">
        <v>2</v>
      </c>
      <c r="J294">
        <v>210.45</v>
      </c>
      <c r="K294">
        <v>0</v>
      </c>
      <c r="L294">
        <v>124</v>
      </c>
      <c r="M294">
        <v>420.9</v>
      </c>
      <c r="N294">
        <v>420.9</v>
      </c>
      <c r="O294">
        <v>248</v>
      </c>
      <c r="P294">
        <v>172.89999999999998</v>
      </c>
    </row>
    <row r="295" spans="1:16" x14ac:dyDescent="0.3">
      <c r="A295" s="1">
        <v>45717</v>
      </c>
      <c r="B295" s="2" t="s">
        <v>39</v>
      </c>
      <c r="C295" s="2" t="s">
        <v>88</v>
      </c>
      <c r="D295" s="2" t="s">
        <v>50</v>
      </c>
      <c r="E295" s="2" t="s">
        <v>51</v>
      </c>
      <c r="F295" s="2" t="s">
        <v>52</v>
      </c>
      <c r="G295" s="2" t="s">
        <v>192</v>
      </c>
      <c r="H295">
        <v>1</v>
      </c>
      <c r="I295">
        <v>8</v>
      </c>
      <c r="J295">
        <v>198.83</v>
      </c>
      <c r="K295">
        <v>0.08</v>
      </c>
      <c r="L295">
        <v>124</v>
      </c>
      <c r="M295">
        <v>1590.64</v>
      </c>
      <c r="N295">
        <v>1463.3888000000002</v>
      </c>
      <c r="O295">
        <v>992</v>
      </c>
      <c r="P295">
        <v>471.38880000000017</v>
      </c>
    </row>
    <row r="296" spans="1:16" x14ac:dyDescent="0.3">
      <c r="A296" s="1">
        <v>45717</v>
      </c>
      <c r="B296" s="2" t="s">
        <v>56</v>
      </c>
      <c r="C296" s="2" t="s">
        <v>62</v>
      </c>
      <c r="D296" s="2" t="s">
        <v>41</v>
      </c>
      <c r="E296" s="2" t="s">
        <v>42</v>
      </c>
      <c r="F296" s="2" t="s">
        <v>52</v>
      </c>
      <c r="G296" s="2" t="s">
        <v>193</v>
      </c>
      <c r="H296">
        <v>1</v>
      </c>
      <c r="I296">
        <v>2</v>
      </c>
      <c r="J296">
        <v>204.34</v>
      </c>
      <c r="K296">
        <v>0.05</v>
      </c>
      <c r="L296">
        <v>124</v>
      </c>
      <c r="M296">
        <v>408.68</v>
      </c>
      <c r="N296">
        <v>388.24599999999998</v>
      </c>
      <c r="O296">
        <v>248</v>
      </c>
      <c r="P296">
        <v>140.24599999999998</v>
      </c>
    </row>
    <row r="297" spans="1:16" x14ac:dyDescent="0.3">
      <c r="A297" s="1">
        <v>45717</v>
      </c>
      <c r="B297" s="2" t="s">
        <v>39</v>
      </c>
      <c r="C297" s="2" t="s">
        <v>92</v>
      </c>
      <c r="D297" s="2" t="s">
        <v>46</v>
      </c>
      <c r="E297" s="2" t="s">
        <v>42</v>
      </c>
      <c r="F297" s="2" t="s">
        <v>43</v>
      </c>
      <c r="G297" s="2" t="s">
        <v>154</v>
      </c>
      <c r="H297">
        <v>1</v>
      </c>
      <c r="I297">
        <v>2</v>
      </c>
      <c r="J297">
        <v>300.83</v>
      </c>
      <c r="K297">
        <v>0.15</v>
      </c>
      <c r="L297">
        <v>182</v>
      </c>
      <c r="M297">
        <v>601.66</v>
      </c>
      <c r="N297">
        <v>511.41099999999994</v>
      </c>
      <c r="O297">
        <v>364</v>
      </c>
      <c r="P297">
        <v>147.41099999999994</v>
      </c>
    </row>
    <row r="298" spans="1:16" x14ac:dyDescent="0.3">
      <c r="A298" s="1">
        <v>45717</v>
      </c>
      <c r="B298" s="2" t="s">
        <v>39</v>
      </c>
      <c r="C298" s="2" t="s">
        <v>78</v>
      </c>
      <c r="D298" s="2" t="s">
        <v>50</v>
      </c>
      <c r="E298" s="2" t="s">
        <v>51</v>
      </c>
      <c r="F298" s="2" t="s">
        <v>43</v>
      </c>
      <c r="G298" s="2" t="s">
        <v>163</v>
      </c>
      <c r="H298">
        <v>1</v>
      </c>
      <c r="I298">
        <v>8</v>
      </c>
      <c r="J298">
        <v>762.32</v>
      </c>
      <c r="K298">
        <v>0.05</v>
      </c>
      <c r="L298">
        <v>520</v>
      </c>
      <c r="M298">
        <v>6098.56</v>
      </c>
      <c r="N298">
        <v>5793.6320000000005</v>
      </c>
      <c r="O298">
        <v>4160</v>
      </c>
      <c r="P298">
        <v>1633.6320000000005</v>
      </c>
    </row>
    <row r="299" spans="1:16" x14ac:dyDescent="0.3">
      <c r="A299" s="1">
        <v>45717</v>
      </c>
      <c r="B299" s="2" t="s">
        <v>56</v>
      </c>
      <c r="C299" s="2" t="s">
        <v>57</v>
      </c>
      <c r="D299" s="2" t="s">
        <v>46</v>
      </c>
      <c r="E299" s="2" t="s">
        <v>47</v>
      </c>
      <c r="F299" s="2" t="s">
        <v>52</v>
      </c>
      <c r="G299" s="2" t="s">
        <v>116</v>
      </c>
      <c r="H299">
        <v>2</v>
      </c>
      <c r="I299">
        <v>13</v>
      </c>
      <c r="J299">
        <v>128.745</v>
      </c>
      <c r="K299">
        <v>6.5000000000000002E-2</v>
      </c>
      <c r="L299">
        <v>71</v>
      </c>
      <c r="M299">
        <v>2264.94</v>
      </c>
      <c r="N299">
        <v>2147.7077999999997</v>
      </c>
      <c r="O299">
        <v>1294</v>
      </c>
      <c r="P299">
        <v>853.70779999999991</v>
      </c>
    </row>
    <row r="300" spans="1:16" x14ac:dyDescent="0.3">
      <c r="A300" s="1">
        <v>45717</v>
      </c>
      <c r="B300" s="2" t="s">
        <v>39</v>
      </c>
      <c r="C300" s="2" t="s">
        <v>45</v>
      </c>
      <c r="D300" s="2" t="s">
        <v>41</v>
      </c>
      <c r="E300" s="2" t="s">
        <v>42</v>
      </c>
      <c r="F300" s="2" t="s">
        <v>48</v>
      </c>
      <c r="G300" s="2" t="s">
        <v>194</v>
      </c>
      <c r="H300">
        <v>1</v>
      </c>
      <c r="I300">
        <v>1</v>
      </c>
      <c r="J300">
        <v>94.85</v>
      </c>
      <c r="K300">
        <v>0</v>
      </c>
      <c r="L300">
        <v>39</v>
      </c>
      <c r="M300">
        <v>94.85</v>
      </c>
      <c r="N300">
        <v>94.85</v>
      </c>
      <c r="O300">
        <v>39</v>
      </c>
      <c r="P300">
        <v>55.849999999999994</v>
      </c>
    </row>
    <row r="301" spans="1:16" x14ac:dyDescent="0.3">
      <c r="A301" s="1">
        <v>45717</v>
      </c>
      <c r="B301" s="2" t="s">
        <v>39</v>
      </c>
      <c r="C301" s="2" t="s">
        <v>45</v>
      </c>
      <c r="D301" s="2" t="s">
        <v>41</v>
      </c>
      <c r="E301" s="2" t="s">
        <v>42</v>
      </c>
      <c r="F301" s="2" t="s">
        <v>43</v>
      </c>
      <c r="G301" s="2" t="s">
        <v>194</v>
      </c>
      <c r="H301">
        <v>1</v>
      </c>
      <c r="I301">
        <v>1</v>
      </c>
      <c r="J301">
        <v>178.44</v>
      </c>
      <c r="K301">
        <v>0.1</v>
      </c>
      <c r="L301">
        <v>86</v>
      </c>
      <c r="M301">
        <v>178.44</v>
      </c>
      <c r="N301">
        <v>160.596</v>
      </c>
      <c r="O301">
        <v>86</v>
      </c>
      <c r="P301">
        <v>74.596000000000004</v>
      </c>
    </row>
    <row r="302" spans="1:16" x14ac:dyDescent="0.3">
      <c r="A302" s="1">
        <v>45717</v>
      </c>
      <c r="B302" s="2" t="s">
        <v>65</v>
      </c>
      <c r="C302" s="2" t="s">
        <v>66</v>
      </c>
      <c r="D302" s="2" t="s">
        <v>50</v>
      </c>
      <c r="E302" s="2" t="s">
        <v>47</v>
      </c>
      <c r="F302" s="2" t="s">
        <v>52</v>
      </c>
      <c r="G302" s="2" t="s">
        <v>195</v>
      </c>
      <c r="H302">
        <v>1</v>
      </c>
      <c r="I302">
        <v>1</v>
      </c>
      <c r="J302">
        <v>44.33</v>
      </c>
      <c r="K302">
        <v>0</v>
      </c>
      <c r="L302">
        <v>18</v>
      </c>
      <c r="M302">
        <v>44.33</v>
      </c>
      <c r="N302">
        <v>44.33</v>
      </c>
      <c r="O302">
        <v>18</v>
      </c>
      <c r="P302">
        <v>26.33</v>
      </c>
    </row>
    <row r="303" spans="1:16" x14ac:dyDescent="0.3">
      <c r="A303" s="1">
        <v>45717</v>
      </c>
      <c r="B303" s="2" t="s">
        <v>83</v>
      </c>
      <c r="C303" s="2" t="s">
        <v>84</v>
      </c>
      <c r="D303" s="2" t="s">
        <v>41</v>
      </c>
      <c r="E303" s="2" t="s">
        <v>47</v>
      </c>
      <c r="F303" s="2" t="s">
        <v>43</v>
      </c>
      <c r="G303" s="2" t="s">
        <v>157</v>
      </c>
      <c r="H303">
        <v>1</v>
      </c>
      <c r="I303">
        <v>4</v>
      </c>
      <c r="J303">
        <v>301.39</v>
      </c>
      <c r="K303">
        <v>0</v>
      </c>
      <c r="L303">
        <v>182</v>
      </c>
      <c r="M303">
        <v>1205.56</v>
      </c>
      <c r="N303">
        <v>1205.56</v>
      </c>
      <c r="O303">
        <v>728</v>
      </c>
      <c r="P303">
        <v>477.55999999999995</v>
      </c>
    </row>
    <row r="304" spans="1:16" x14ac:dyDescent="0.3">
      <c r="A304" s="1">
        <v>45717</v>
      </c>
      <c r="B304" s="2" t="s">
        <v>39</v>
      </c>
      <c r="C304" s="2" t="s">
        <v>45</v>
      </c>
      <c r="D304" s="2" t="s">
        <v>41</v>
      </c>
      <c r="E304" s="2" t="s">
        <v>51</v>
      </c>
      <c r="F304" s="2" t="s">
        <v>48</v>
      </c>
      <c r="G304" s="2" t="s">
        <v>183</v>
      </c>
      <c r="H304">
        <v>1</v>
      </c>
      <c r="I304">
        <v>17</v>
      </c>
      <c r="J304">
        <v>67.55</v>
      </c>
      <c r="K304">
        <v>0</v>
      </c>
      <c r="L304">
        <v>31</v>
      </c>
      <c r="M304">
        <v>1148.3499999999999</v>
      </c>
      <c r="N304">
        <v>1148.3499999999999</v>
      </c>
      <c r="O304">
        <v>527</v>
      </c>
      <c r="P304">
        <v>621.34999999999991</v>
      </c>
    </row>
    <row r="305" spans="1:16" x14ac:dyDescent="0.3">
      <c r="A305" s="1">
        <v>45717</v>
      </c>
      <c r="B305" s="2" t="s">
        <v>39</v>
      </c>
      <c r="C305" s="2" t="s">
        <v>92</v>
      </c>
      <c r="D305" s="2" t="s">
        <v>46</v>
      </c>
      <c r="E305" s="2" t="s">
        <v>47</v>
      </c>
      <c r="F305" s="2" t="s">
        <v>43</v>
      </c>
      <c r="G305" s="2" t="s">
        <v>169</v>
      </c>
      <c r="H305">
        <v>1</v>
      </c>
      <c r="I305">
        <v>4</v>
      </c>
      <c r="J305">
        <v>633.07000000000005</v>
      </c>
      <c r="K305">
        <v>0.1</v>
      </c>
      <c r="L305">
        <v>395</v>
      </c>
      <c r="M305">
        <v>2532.2800000000002</v>
      </c>
      <c r="N305">
        <v>2279.0520000000001</v>
      </c>
      <c r="O305">
        <v>1580</v>
      </c>
      <c r="P305">
        <v>699.05200000000013</v>
      </c>
    </row>
    <row r="306" spans="1:16" x14ac:dyDescent="0.3">
      <c r="A306" s="1">
        <v>45992</v>
      </c>
      <c r="B306" s="2" t="s">
        <v>39</v>
      </c>
      <c r="C306" s="2" t="s">
        <v>40</v>
      </c>
      <c r="D306" s="2" t="s">
        <v>46</v>
      </c>
      <c r="E306" s="2" t="s">
        <v>47</v>
      </c>
      <c r="F306" s="2" t="s">
        <v>43</v>
      </c>
      <c r="G306" s="2" t="s">
        <v>99</v>
      </c>
      <c r="H306">
        <v>3</v>
      </c>
      <c r="I306">
        <v>7</v>
      </c>
      <c r="J306">
        <v>449.32000000000005</v>
      </c>
      <c r="K306">
        <v>0.13999999999999999</v>
      </c>
      <c r="L306">
        <v>262.66666666666663</v>
      </c>
      <c r="M306">
        <v>3430.0400000000004</v>
      </c>
      <c r="N306">
        <v>2931.7160000000003</v>
      </c>
      <c r="O306">
        <v>2000</v>
      </c>
      <c r="P306">
        <v>931.71600000000035</v>
      </c>
    </row>
    <row r="307" spans="1:16" x14ac:dyDescent="0.3">
      <c r="A307" s="1">
        <v>45717</v>
      </c>
      <c r="B307" s="2" t="s">
        <v>39</v>
      </c>
      <c r="C307" s="2" t="s">
        <v>78</v>
      </c>
      <c r="D307" s="2" t="s">
        <v>41</v>
      </c>
      <c r="E307" s="2" t="s">
        <v>42</v>
      </c>
      <c r="F307" s="2" t="s">
        <v>43</v>
      </c>
      <c r="G307" s="2" t="s">
        <v>119</v>
      </c>
      <c r="H307">
        <v>2</v>
      </c>
      <c r="I307">
        <v>4</v>
      </c>
      <c r="J307">
        <v>482.875</v>
      </c>
      <c r="K307">
        <v>2.5000000000000001E-2</v>
      </c>
      <c r="L307">
        <v>287</v>
      </c>
      <c r="M307">
        <v>1186.0700000000002</v>
      </c>
      <c r="N307">
        <v>1143.2905000000001</v>
      </c>
      <c r="O307">
        <v>682</v>
      </c>
      <c r="P307">
        <v>461.29050000000007</v>
      </c>
    </row>
    <row r="308" spans="1:16" x14ac:dyDescent="0.3">
      <c r="A308" s="1">
        <v>45717</v>
      </c>
      <c r="B308" s="2" t="s">
        <v>39</v>
      </c>
      <c r="C308" s="2" t="s">
        <v>40</v>
      </c>
      <c r="D308" s="2" t="s">
        <v>41</v>
      </c>
      <c r="E308" s="2" t="s">
        <v>47</v>
      </c>
      <c r="F308" s="2" t="s">
        <v>52</v>
      </c>
      <c r="G308" s="2" t="s">
        <v>44</v>
      </c>
      <c r="H308">
        <v>1</v>
      </c>
      <c r="I308">
        <v>2</v>
      </c>
      <c r="J308">
        <v>44.38</v>
      </c>
      <c r="K308">
        <v>0</v>
      </c>
      <c r="L308">
        <v>18</v>
      </c>
      <c r="M308">
        <v>88.76</v>
      </c>
      <c r="N308">
        <v>88.76</v>
      </c>
      <c r="O308">
        <v>36</v>
      </c>
      <c r="P308">
        <v>52.760000000000005</v>
      </c>
    </row>
    <row r="309" spans="1:16" x14ac:dyDescent="0.3">
      <c r="A309" s="1">
        <v>45717</v>
      </c>
      <c r="B309" s="2" t="s">
        <v>39</v>
      </c>
      <c r="C309" s="2" t="s">
        <v>40</v>
      </c>
      <c r="D309" s="2" t="s">
        <v>41</v>
      </c>
      <c r="E309" s="2" t="s">
        <v>47</v>
      </c>
      <c r="F309" s="2" t="s">
        <v>48</v>
      </c>
      <c r="G309" s="2" t="s">
        <v>44</v>
      </c>
      <c r="H309">
        <v>1</v>
      </c>
      <c r="I309">
        <v>3</v>
      </c>
      <c r="J309">
        <v>142</v>
      </c>
      <c r="K309">
        <v>0</v>
      </c>
      <c r="L309">
        <v>63</v>
      </c>
      <c r="M309">
        <v>426</v>
      </c>
      <c r="N309">
        <v>426</v>
      </c>
      <c r="O309">
        <v>189</v>
      </c>
      <c r="P309">
        <v>237</v>
      </c>
    </row>
    <row r="310" spans="1:16" x14ac:dyDescent="0.3">
      <c r="A310" s="1">
        <v>45717</v>
      </c>
      <c r="B310" s="2" t="s">
        <v>39</v>
      </c>
      <c r="C310" s="2" t="s">
        <v>92</v>
      </c>
      <c r="D310" s="2" t="s">
        <v>41</v>
      </c>
      <c r="E310" s="2" t="s">
        <v>42</v>
      </c>
      <c r="F310" s="2" t="s">
        <v>43</v>
      </c>
      <c r="G310" s="2" t="s">
        <v>196</v>
      </c>
      <c r="H310">
        <v>1</v>
      </c>
      <c r="I310">
        <v>3</v>
      </c>
      <c r="J310">
        <v>601.86</v>
      </c>
      <c r="K310">
        <v>0.1</v>
      </c>
      <c r="L310">
        <v>395</v>
      </c>
      <c r="M310">
        <v>1805.58</v>
      </c>
      <c r="N310">
        <v>1625.0219999999999</v>
      </c>
      <c r="O310">
        <v>1185</v>
      </c>
      <c r="P310">
        <v>440.02199999999993</v>
      </c>
    </row>
    <row r="311" spans="1:16" x14ac:dyDescent="0.3">
      <c r="A311" s="1">
        <v>45717</v>
      </c>
      <c r="B311" s="2" t="s">
        <v>39</v>
      </c>
      <c r="C311" s="2" t="s">
        <v>92</v>
      </c>
      <c r="D311" s="2" t="s">
        <v>41</v>
      </c>
      <c r="E311" s="2" t="s">
        <v>42</v>
      </c>
      <c r="F311" s="2" t="s">
        <v>48</v>
      </c>
      <c r="G311" s="2" t="s">
        <v>196</v>
      </c>
      <c r="H311">
        <v>1</v>
      </c>
      <c r="I311">
        <v>3</v>
      </c>
      <c r="J311">
        <v>75.47</v>
      </c>
      <c r="K311">
        <v>0</v>
      </c>
      <c r="L311">
        <v>31</v>
      </c>
      <c r="M311">
        <v>226.41</v>
      </c>
      <c r="N311">
        <v>226.41</v>
      </c>
      <c r="O311">
        <v>93</v>
      </c>
      <c r="P311">
        <v>133.41</v>
      </c>
    </row>
    <row r="312" spans="1:16" x14ac:dyDescent="0.3">
      <c r="A312" s="1">
        <v>45717</v>
      </c>
      <c r="B312" s="2" t="s">
        <v>197</v>
      </c>
      <c r="C312" s="2" t="s">
        <v>40</v>
      </c>
      <c r="D312" s="2" t="s">
        <v>50</v>
      </c>
      <c r="E312" s="2" t="s">
        <v>42</v>
      </c>
      <c r="F312" s="2" t="s">
        <v>43</v>
      </c>
      <c r="G312" s="2" t="s">
        <v>198</v>
      </c>
      <c r="H312">
        <v>1</v>
      </c>
      <c r="I312">
        <v>1</v>
      </c>
      <c r="J312">
        <v>177.32</v>
      </c>
      <c r="K312">
        <v>0</v>
      </c>
      <c r="L312">
        <v>86</v>
      </c>
      <c r="M312">
        <v>177.32</v>
      </c>
      <c r="N312">
        <v>177.32</v>
      </c>
      <c r="O312">
        <v>86</v>
      </c>
      <c r="P312">
        <v>91.32</v>
      </c>
    </row>
    <row r="313" spans="1:16" x14ac:dyDescent="0.3">
      <c r="A313" s="1">
        <v>45717</v>
      </c>
      <c r="B313" s="2" t="s">
        <v>70</v>
      </c>
      <c r="C313" s="2" t="s">
        <v>45</v>
      </c>
      <c r="D313" s="2" t="s">
        <v>50</v>
      </c>
      <c r="E313" s="2" t="s">
        <v>51</v>
      </c>
      <c r="F313" s="2" t="s">
        <v>48</v>
      </c>
      <c r="G313" s="2" t="s">
        <v>71</v>
      </c>
      <c r="H313">
        <v>1</v>
      </c>
      <c r="I313">
        <v>6</v>
      </c>
      <c r="J313">
        <v>68.02</v>
      </c>
      <c r="K313">
        <v>0.08</v>
      </c>
      <c r="L313">
        <v>31</v>
      </c>
      <c r="M313">
        <v>408.12</v>
      </c>
      <c r="N313">
        <v>375.47040000000004</v>
      </c>
      <c r="O313">
        <v>186</v>
      </c>
      <c r="P313">
        <v>189.47040000000004</v>
      </c>
    </row>
    <row r="314" spans="1:16" x14ac:dyDescent="0.3">
      <c r="A314" s="1">
        <v>45717</v>
      </c>
      <c r="B314" s="2" t="s">
        <v>70</v>
      </c>
      <c r="C314" s="2" t="s">
        <v>45</v>
      </c>
      <c r="D314" s="2" t="s">
        <v>50</v>
      </c>
      <c r="E314" s="2" t="s">
        <v>51</v>
      </c>
      <c r="F314" s="2" t="s">
        <v>43</v>
      </c>
      <c r="G314" s="2" t="s">
        <v>71</v>
      </c>
      <c r="H314">
        <v>1</v>
      </c>
      <c r="I314">
        <v>9</v>
      </c>
      <c r="J314">
        <v>562.41</v>
      </c>
      <c r="K314">
        <v>0</v>
      </c>
      <c r="L314">
        <v>395</v>
      </c>
      <c r="M314">
        <v>5061.6899999999996</v>
      </c>
      <c r="N314">
        <v>5061.6899999999996</v>
      </c>
      <c r="O314">
        <v>3555</v>
      </c>
      <c r="P314">
        <v>1506.6899999999996</v>
      </c>
    </row>
    <row r="315" spans="1:16" x14ac:dyDescent="0.3">
      <c r="A315" s="1">
        <v>45717</v>
      </c>
      <c r="B315" s="2" t="s">
        <v>39</v>
      </c>
      <c r="C315" s="2" t="s">
        <v>92</v>
      </c>
      <c r="D315" s="2" t="s">
        <v>50</v>
      </c>
      <c r="E315" s="2" t="s">
        <v>42</v>
      </c>
      <c r="F315" s="2" t="s">
        <v>52</v>
      </c>
      <c r="G315" s="2" t="s">
        <v>146</v>
      </c>
      <c r="H315">
        <v>1</v>
      </c>
      <c r="I315">
        <v>3</v>
      </c>
      <c r="J315">
        <v>212.97</v>
      </c>
      <c r="K315">
        <v>0.08</v>
      </c>
      <c r="L315">
        <v>124</v>
      </c>
      <c r="M315">
        <v>638.91</v>
      </c>
      <c r="N315">
        <v>587.79719999999998</v>
      </c>
      <c r="O315">
        <v>372</v>
      </c>
      <c r="P315">
        <v>215.79719999999998</v>
      </c>
    </row>
    <row r="316" spans="1:16" x14ac:dyDescent="0.3">
      <c r="A316" s="1">
        <v>45717</v>
      </c>
      <c r="B316" s="2" t="s">
        <v>75</v>
      </c>
      <c r="C316" s="2" t="s">
        <v>101</v>
      </c>
      <c r="D316" s="2" t="s">
        <v>50</v>
      </c>
      <c r="E316" s="2" t="s">
        <v>51</v>
      </c>
      <c r="F316" s="2" t="s">
        <v>43</v>
      </c>
      <c r="G316" s="2" t="s">
        <v>149</v>
      </c>
      <c r="H316">
        <v>1</v>
      </c>
      <c r="I316">
        <v>4</v>
      </c>
      <c r="J316">
        <v>94.33</v>
      </c>
      <c r="K316">
        <v>0.08</v>
      </c>
      <c r="L316">
        <v>54</v>
      </c>
      <c r="M316">
        <v>377.32</v>
      </c>
      <c r="N316">
        <v>347.13440000000003</v>
      </c>
      <c r="O316">
        <v>216</v>
      </c>
      <c r="P316">
        <v>131.13440000000003</v>
      </c>
    </row>
    <row r="317" spans="1:16" x14ac:dyDescent="0.3">
      <c r="A317" s="1">
        <v>45717</v>
      </c>
      <c r="B317" s="2" t="s">
        <v>56</v>
      </c>
      <c r="C317" s="2" t="s">
        <v>72</v>
      </c>
      <c r="D317" s="2" t="s">
        <v>46</v>
      </c>
      <c r="E317" s="2" t="s">
        <v>47</v>
      </c>
      <c r="F317" s="2" t="s">
        <v>43</v>
      </c>
      <c r="G317" s="2" t="s">
        <v>199</v>
      </c>
      <c r="H317">
        <v>1</v>
      </c>
      <c r="I317">
        <v>2</v>
      </c>
      <c r="J317">
        <v>300.25</v>
      </c>
      <c r="K317">
        <v>0.08</v>
      </c>
      <c r="L317">
        <v>182</v>
      </c>
      <c r="M317">
        <v>600.5</v>
      </c>
      <c r="N317">
        <v>552.46</v>
      </c>
      <c r="O317">
        <v>364</v>
      </c>
      <c r="P317">
        <v>188.46000000000004</v>
      </c>
    </row>
    <row r="318" spans="1:16" x14ac:dyDescent="0.3">
      <c r="A318" s="1">
        <v>45717</v>
      </c>
      <c r="B318" s="2" t="s">
        <v>75</v>
      </c>
      <c r="C318" s="2" t="s">
        <v>76</v>
      </c>
      <c r="D318" s="2" t="s">
        <v>50</v>
      </c>
      <c r="E318" s="2" t="s">
        <v>42</v>
      </c>
      <c r="F318" s="2" t="s">
        <v>43</v>
      </c>
      <c r="G318" s="2" t="s">
        <v>142</v>
      </c>
      <c r="H318">
        <v>2</v>
      </c>
      <c r="I318">
        <v>3</v>
      </c>
      <c r="J318">
        <v>140.935</v>
      </c>
      <c r="K318">
        <v>0.04</v>
      </c>
      <c r="L318">
        <v>70</v>
      </c>
      <c r="M318">
        <v>453.94</v>
      </c>
      <c r="N318">
        <v>445.15600000000001</v>
      </c>
      <c r="O318">
        <v>226</v>
      </c>
      <c r="P318">
        <v>219.15600000000001</v>
      </c>
    </row>
    <row r="319" spans="1:16" x14ac:dyDescent="0.3">
      <c r="A319" s="1">
        <v>45717</v>
      </c>
      <c r="B319" s="2" t="s">
        <v>39</v>
      </c>
      <c r="C319" s="2" t="s">
        <v>54</v>
      </c>
      <c r="D319" s="2" t="s">
        <v>50</v>
      </c>
      <c r="E319" s="2" t="s">
        <v>42</v>
      </c>
      <c r="F319" s="2" t="s">
        <v>48</v>
      </c>
      <c r="G319" s="2" t="s">
        <v>178</v>
      </c>
      <c r="H319">
        <v>1</v>
      </c>
      <c r="I319">
        <v>1</v>
      </c>
      <c r="J319">
        <v>74.06</v>
      </c>
      <c r="K319">
        <v>0.05</v>
      </c>
      <c r="L319">
        <v>31</v>
      </c>
      <c r="M319">
        <v>74.06</v>
      </c>
      <c r="N319">
        <v>70.356999999999999</v>
      </c>
      <c r="O319">
        <v>31</v>
      </c>
      <c r="P319">
        <v>39.356999999999999</v>
      </c>
    </row>
    <row r="320" spans="1:16" x14ac:dyDescent="0.3">
      <c r="A320" s="1">
        <v>45717</v>
      </c>
      <c r="B320" s="2" t="s">
        <v>197</v>
      </c>
      <c r="C320" s="2" t="s">
        <v>40</v>
      </c>
      <c r="D320" s="2" t="s">
        <v>50</v>
      </c>
      <c r="E320" s="2" t="s">
        <v>51</v>
      </c>
      <c r="F320" s="2" t="s">
        <v>52</v>
      </c>
      <c r="G320" s="2" t="s">
        <v>198</v>
      </c>
      <c r="H320">
        <v>1</v>
      </c>
      <c r="I320">
        <v>10</v>
      </c>
      <c r="J320">
        <v>193.25</v>
      </c>
      <c r="K320">
        <v>0.08</v>
      </c>
      <c r="L320">
        <v>124</v>
      </c>
      <c r="M320">
        <v>1932.5</v>
      </c>
      <c r="N320">
        <v>1777.9</v>
      </c>
      <c r="O320">
        <v>1240</v>
      </c>
      <c r="P320">
        <v>537.90000000000009</v>
      </c>
    </row>
    <row r="321" spans="1:16" x14ac:dyDescent="0.3">
      <c r="A321" s="1">
        <v>45717</v>
      </c>
      <c r="B321" s="2" t="s">
        <v>39</v>
      </c>
      <c r="C321" s="2" t="s">
        <v>88</v>
      </c>
      <c r="D321" s="2" t="s">
        <v>50</v>
      </c>
      <c r="E321" s="2" t="s">
        <v>42</v>
      </c>
      <c r="F321" s="2" t="s">
        <v>43</v>
      </c>
      <c r="G321" s="2" t="s">
        <v>140</v>
      </c>
      <c r="H321">
        <v>1</v>
      </c>
      <c r="I321">
        <v>3</v>
      </c>
      <c r="J321">
        <v>176.17</v>
      </c>
      <c r="K321">
        <v>0.08</v>
      </c>
      <c r="L321">
        <v>86</v>
      </c>
      <c r="M321">
        <v>528.51</v>
      </c>
      <c r="N321">
        <v>486.22919999999999</v>
      </c>
      <c r="O321">
        <v>258</v>
      </c>
      <c r="P321">
        <v>228.22919999999999</v>
      </c>
    </row>
    <row r="322" spans="1:16" x14ac:dyDescent="0.3">
      <c r="A322" s="1">
        <v>45717</v>
      </c>
      <c r="B322" s="2" t="s">
        <v>39</v>
      </c>
      <c r="C322" s="2" t="s">
        <v>40</v>
      </c>
      <c r="D322" s="2" t="s">
        <v>41</v>
      </c>
      <c r="E322" s="2" t="s">
        <v>47</v>
      </c>
      <c r="F322" s="2" t="s">
        <v>48</v>
      </c>
      <c r="G322" s="2" t="s">
        <v>200</v>
      </c>
      <c r="H322">
        <v>1</v>
      </c>
      <c r="I322">
        <v>6</v>
      </c>
      <c r="J322">
        <v>24.79</v>
      </c>
      <c r="K322">
        <v>0.05</v>
      </c>
      <c r="L322">
        <v>8</v>
      </c>
      <c r="M322">
        <v>148.74</v>
      </c>
      <c r="N322">
        <v>141.303</v>
      </c>
      <c r="O322">
        <v>48</v>
      </c>
      <c r="P322">
        <v>93.302999999999997</v>
      </c>
    </row>
    <row r="323" spans="1:16" x14ac:dyDescent="0.3">
      <c r="A323" s="1">
        <v>45717</v>
      </c>
      <c r="B323" s="2" t="s">
        <v>65</v>
      </c>
      <c r="C323" s="2" t="s">
        <v>66</v>
      </c>
      <c r="D323" s="2" t="s">
        <v>50</v>
      </c>
      <c r="E323" s="2" t="s">
        <v>42</v>
      </c>
      <c r="F323" s="2" t="s">
        <v>48</v>
      </c>
      <c r="G323" s="2" t="s">
        <v>103</v>
      </c>
      <c r="H323">
        <v>1</v>
      </c>
      <c r="I323">
        <v>3</v>
      </c>
      <c r="J323">
        <v>70.680000000000007</v>
      </c>
      <c r="K323">
        <v>0.1</v>
      </c>
      <c r="L323">
        <v>31</v>
      </c>
      <c r="M323">
        <v>212.04000000000002</v>
      </c>
      <c r="N323">
        <v>190.83600000000001</v>
      </c>
      <c r="O323">
        <v>93</v>
      </c>
      <c r="P323">
        <v>97.836000000000013</v>
      </c>
    </row>
    <row r="324" spans="1:16" x14ac:dyDescent="0.3">
      <c r="A324" s="1">
        <v>45717</v>
      </c>
      <c r="B324" s="2" t="s">
        <v>65</v>
      </c>
      <c r="C324" s="2" t="s">
        <v>66</v>
      </c>
      <c r="D324" s="2" t="s">
        <v>41</v>
      </c>
      <c r="E324" s="2" t="s">
        <v>47</v>
      </c>
      <c r="F324" s="2" t="s">
        <v>43</v>
      </c>
      <c r="G324" s="2" t="s">
        <v>68</v>
      </c>
      <c r="H324">
        <v>1</v>
      </c>
      <c r="I324">
        <v>2</v>
      </c>
      <c r="J324">
        <v>855.81</v>
      </c>
      <c r="K324">
        <v>0</v>
      </c>
      <c r="L324">
        <v>520</v>
      </c>
      <c r="M324">
        <v>1711.62</v>
      </c>
      <c r="N324">
        <v>1711.62</v>
      </c>
      <c r="O324">
        <v>1040</v>
      </c>
      <c r="P324">
        <v>671.61999999999989</v>
      </c>
    </row>
    <row r="325" spans="1:16" x14ac:dyDescent="0.3">
      <c r="A325" s="1">
        <v>45717</v>
      </c>
      <c r="B325" s="2" t="s">
        <v>65</v>
      </c>
      <c r="C325" s="2" t="s">
        <v>66</v>
      </c>
      <c r="D325" s="2" t="s">
        <v>41</v>
      </c>
      <c r="E325" s="2" t="s">
        <v>47</v>
      </c>
      <c r="F325" s="2" t="s">
        <v>52</v>
      </c>
      <c r="G325" s="2" t="s">
        <v>68</v>
      </c>
      <c r="H325">
        <v>1</v>
      </c>
      <c r="I325">
        <v>1</v>
      </c>
      <c r="J325">
        <v>211.77</v>
      </c>
      <c r="K325">
        <v>0.1</v>
      </c>
      <c r="L325">
        <v>124</v>
      </c>
      <c r="M325">
        <v>211.77</v>
      </c>
      <c r="N325">
        <v>190.59300000000002</v>
      </c>
      <c r="O325">
        <v>124</v>
      </c>
      <c r="P325">
        <v>66.593000000000018</v>
      </c>
    </row>
    <row r="326" spans="1:16" x14ac:dyDescent="0.3">
      <c r="A326" s="1">
        <v>45717</v>
      </c>
      <c r="B326" s="2" t="s">
        <v>56</v>
      </c>
      <c r="C326" s="2" t="s">
        <v>57</v>
      </c>
      <c r="D326" s="2" t="s">
        <v>46</v>
      </c>
      <c r="E326" s="2" t="s">
        <v>42</v>
      </c>
      <c r="F326" s="2" t="s">
        <v>52</v>
      </c>
      <c r="G326" s="2" t="s">
        <v>111</v>
      </c>
      <c r="H326">
        <v>1</v>
      </c>
      <c r="I326">
        <v>2</v>
      </c>
      <c r="J326">
        <v>44.5</v>
      </c>
      <c r="K326">
        <v>0.1</v>
      </c>
      <c r="L326">
        <v>18</v>
      </c>
      <c r="M326">
        <v>89</v>
      </c>
      <c r="N326">
        <v>80.100000000000009</v>
      </c>
      <c r="O326">
        <v>36</v>
      </c>
      <c r="P326">
        <v>44.100000000000009</v>
      </c>
    </row>
    <row r="327" spans="1:16" x14ac:dyDescent="0.3">
      <c r="A327" s="1">
        <v>45717</v>
      </c>
      <c r="B327" s="2" t="s">
        <v>56</v>
      </c>
      <c r="C327" s="2" t="s">
        <v>72</v>
      </c>
      <c r="D327" s="2" t="s">
        <v>41</v>
      </c>
      <c r="E327" s="2" t="s">
        <v>42</v>
      </c>
      <c r="F327" s="2" t="s">
        <v>52</v>
      </c>
      <c r="G327" s="2" t="s">
        <v>179</v>
      </c>
      <c r="H327">
        <v>1</v>
      </c>
      <c r="I327">
        <v>1</v>
      </c>
      <c r="J327">
        <v>44</v>
      </c>
      <c r="K327">
        <v>0</v>
      </c>
      <c r="L327">
        <v>18</v>
      </c>
      <c r="M327">
        <v>44</v>
      </c>
      <c r="N327">
        <v>44</v>
      </c>
      <c r="O327">
        <v>18</v>
      </c>
      <c r="P327">
        <v>26</v>
      </c>
    </row>
    <row r="328" spans="1:16" x14ac:dyDescent="0.3">
      <c r="A328" s="1">
        <v>45717</v>
      </c>
      <c r="B328" s="2" t="s">
        <v>56</v>
      </c>
      <c r="C328" s="2" t="s">
        <v>72</v>
      </c>
      <c r="D328" s="2" t="s">
        <v>41</v>
      </c>
      <c r="E328" s="2" t="s">
        <v>42</v>
      </c>
      <c r="F328" s="2" t="s">
        <v>48</v>
      </c>
      <c r="G328" s="2" t="s">
        <v>179</v>
      </c>
      <c r="H328">
        <v>2</v>
      </c>
      <c r="I328">
        <v>5</v>
      </c>
      <c r="J328">
        <v>80.289999999999992</v>
      </c>
      <c r="K328">
        <v>0</v>
      </c>
      <c r="L328">
        <v>35.5</v>
      </c>
      <c r="M328">
        <v>573.67999999999995</v>
      </c>
      <c r="N328">
        <v>573.67999999999995</v>
      </c>
      <c r="O328">
        <v>260</v>
      </c>
      <c r="P328">
        <v>313.67999999999995</v>
      </c>
    </row>
    <row r="329" spans="1:16" x14ac:dyDescent="0.3">
      <c r="A329" s="1">
        <v>45717</v>
      </c>
      <c r="B329" s="2" t="s">
        <v>39</v>
      </c>
      <c r="C329" s="2" t="s">
        <v>45</v>
      </c>
      <c r="D329" s="2" t="s">
        <v>41</v>
      </c>
      <c r="E329" s="2" t="s">
        <v>51</v>
      </c>
      <c r="F329" s="2" t="s">
        <v>43</v>
      </c>
      <c r="G329" s="2" t="s">
        <v>201</v>
      </c>
      <c r="H329">
        <v>2</v>
      </c>
      <c r="I329">
        <v>12</v>
      </c>
      <c r="J329">
        <v>163.24</v>
      </c>
      <c r="K329">
        <v>0</v>
      </c>
      <c r="L329">
        <v>473</v>
      </c>
      <c r="M329">
        <v>1958.88</v>
      </c>
      <c r="N329">
        <v>1958.88</v>
      </c>
      <c r="O329">
        <v>5676</v>
      </c>
      <c r="P329">
        <v>-3717.1199999999994</v>
      </c>
    </row>
    <row r="330" spans="1:16" x14ac:dyDescent="0.3">
      <c r="A330" s="1">
        <v>45717</v>
      </c>
      <c r="B330" s="2" t="s">
        <v>39</v>
      </c>
      <c r="C330" s="2" t="s">
        <v>78</v>
      </c>
      <c r="D330" s="2" t="s">
        <v>41</v>
      </c>
      <c r="E330" s="2" t="s">
        <v>42</v>
      </c>
      <c r="F330" s="2" t="s">
        <v>43</v>
      </c>
      <c r="G330" s="2" t="s">
        <v>182</v>
      </c>
      <c r="H330">
        <v>1</v>
      </c>
      <c r="I330">
        <v>1</v>
      </c>
      <c r="J330">
        <v>175.08</v>
      </c>
      <c r="K330">
        <v>0</v>
      </c>
      <c r="L330">
        <v>86</v>
      </c>
      <c r="M330">
        <v>175.08</v>
      </c>
      <c r="N330">
        <v>175.08</v>
      </c>
      <c r="O330">
        <v>86</v>
      </c>
      <c r="P330">
        <v>89.080000000000013</v>
      </c>
    </row>
    <row r="331" spans="1:16" x14ac:dyDescent="0.3">
      <c r="A331" s="1">
        <v>45717</v>
      </c>
      <c r="B331" s="2" t="s">
        <v>39</v>
      </c>
      <c r="C331" s="2" t="s">
        <v>78</v>
      </c>
      <c r="D331" s="2" t="s">
        <v>41</v>
      </c>
      <c r="E331" s="2" t="s">
        <v>42</v>
      </c>
      <c r="F331" s="2" t="s">
        <v>48</v>
      </c>
      <c r="G331" s="2" t="s">
        <v>182</v>
      </c>
      <c r="H331">
        <v>2</v>
      </c>
      <c r="I331">
        <v>3</v>
      </c>
      <c r="J331">
        <v>82.91</v>
      </c>
      <c r="K331">
        <v>0</v>
      </c>
      <c r="L331">
        <v>35</v>
      </c>
      <c r="M331">
        <v>260.98</v>
      </c>
      <c r="N331">
        <v>260.98</v>
      </c>
      <c r="O331">
        <v>109</v>
      </c>
      <c r="P331">
        <v>151.97999999999999</v>
      </c>
    </row>
    <row r="332" spans="1:16" x14ac:dyDescent="0.3">
      <c r="A332" s="1">
        <v>45717</v>
      </c>
      <c r="B332" s="2" t="s">
        <v>83</v>
      </c>
      <c r="C332" s="2" t="s">
        <v>84</v>
      </c>
      <c r="D332" s="2" t="s">
        <v>46</v>
      </c>
      <c r="E332" s="2" t="s">
        <v>47</v>
      </c>
      <c r="F332" s="2" t="s">
        <v>52</v>
      </c>
      <c r="G332" s="2" t="s">
        <v>90</v>
      </c>
      <c r="H332">
        <v>1</v>
      </c>
      <c r="I332">
        <v>3</v>
      </c>
      <c r="J332">
        <v>220.12</v>
      </c>
      <c r="K332">
        <v>0.1</v>
      </c>
      <c r="L332">
        <v>124</v>
      </c>
      <c r="M332">
        <v>660.36</v>
      </c>
      <c r="N332">
        <v>594.32400000000007</v>
      </c>
      <c r="O332">
        <v>372</v>
      </c>
      <c r="P332">
        <v>222.32400000000007</v>
      </c>
    </row>
    <row r="333" spans="1:16" x14ac:dyDescent="0.3">
      <c r="A333" s="1">
        <v>45717</v>
      </c>
      <c r="B333" s="2" t="s">
        <v>39</v>
      </c>
      <c r="C333" s="2" t="s">
        <v>40</v>
      </c>
      <c r="D333" s="2" t="s">
        <v>50</v>
      </c>
      <c r="E333" s="2" t="s">
        <v>47</v>
      </c>
      <c r="F333" s="2" t="s">
        <v>43</v>
      </c>
      <c r="G333" s="2" t="s">
        <v>122</v>
      </c>
      <c r="H333">
        <v>1</v>
      </c>
      <c r="I333">
        <v>4</v>
      </c>
      <c r="J333">
        <v>879.44</v>
      </c>
      <c r="K333">
        <v>0.05</v>
      </c>
      <c r="L333">
        <v>520</v>
      </c>
      <c r="M333">
        <v>3517.76</v>
      </c>
      <c r="N333">
        <v>3341.8719999999998</v>
      </c>
      <c r="O333">
        <v>2080</v>
      </c>
      <c r="P333">
        <v>1261.8719999999998</v>
      </c>
    </row>
    <row r="334" spans="1:16" x14ac:dyDescent="0.3">
      <c r="A334" s="1">
        <v>45717</v>
      </c>
      <c r="B334" s="2" t="s">
        <v>39</v>
      </c>
      <c r="C334" s="2" t="s">
        <v>92</v>
      </c>
      <c r="D334" s="2" t="s">
        <v>46</v>
      </c>
      <c r="E334" s="2" t="s">
        <v>51</v>
      </c>
      <c r="F334" s="2" t="s">
        <v>48</v>
      </c>
      <c r="G334" s="2" t="s">
        <v>93</v>
      </c>
      <c r="H334">
        <v>1</v>
      </c>
      <c r="I334">
        <v>13</v>
      </c>
      <c r="J334">
        <v>84.81</v>
      </c>
      <c r="K334">
        <v>0.1</v>
      </c>
      <c r="L334">
        <v>39</v>
      </c>
      <c r="M334">
        <v>1102.53</v>
      </c>
      <c r="N334">
        <v>992.27700000000004</v>
      </c>
      <c r="O334">
        <v>507</v>
      </c>
      <c r="P334">
        <v>485.27700000000004</v>
      </c>
    </row>
    <row r="335" spans="1:16" x14ac:dyDescent="0.3">
      <c r="A335" s="1">
        <v>45717</v>
      </c>
      <c r="B335" s="2" t="s">
        <v>39</v>
      </c>
      <c r="C335" s="2" t="s">
        <v>78</v>
      </c>
      <c r="D335" s="2" t="s">
        <v>41</v>
      </c>
      <c r="E335" s="2" t="s">
        <v>42</v>
      </c>
      <c r="F335" s="2" t="s">
        <v>52</v>
      </c>
      <c r="G335" s="2" t="s">
        <v>182</v>
      </c>
      <c r="H335">
        <v>1</v>
      </c>
      <c r="I335">
        <v>2</v>
      </c>
      <c r="J335">
        <v>215.55</v>
      </c>
      <c r="K335">
        <v>0</v>
      </c>
      <c r="L335">
        <v>124</v>
      </c>
      <c r="M335">
        <v>431.1</v>
      </c>
      <c r="N335">
        <v>431.1</v>
      </c>
      <c r="O335">
        <v>248</v>
      </c>
      <c r="P335">
        <v>183.10000000000002</v>
      </c>
    </row>
    <row r="336" spans="1:16" x14ac:dyDescent="0.3">
      <c r="A336" s="1">
        <v>45717</v>
      </c>
      <c r="B336" s="2" t="s">
        <v>39</v>
      </c>
      <c r="C336" s="2" t="s">
        <v>92</v>
      </c>
      <c r="D336" s="2" t="s">
        <v>41</v>
      </c>
      <c r="E336" s="2" t="s">
        <v>47</v>
      </c>
      <c r="F336" s="2" t="s">
        <v>43</v>
      </c>
      <c r="G336" s="2" t="s">
        <v>196</v>
      </c>
      <c r="H336">
        <v>1</v>
      </c>
      <c r="I336">
        <v>4</v>
      </c>
      <c r="J336">
        <v>1226.05</v>
      </c>
      <c r="K336">
        <v>0</v>
      </c>
      <c r="L336">
        <v>760</v>
      </c>
      <c r="M336">
        <v>4904.2</v>
      </c>
      <c r="N336">
        <v>4904.2</v>
      </c>
      <c r="O336">
        <v>3040</v>
      </c>
      <c r="P336">
        <v>1864.1999999999998</v>
      </c>
    </row>
    <row r="337" spans="1:16" x14ac:dyDescent="0.3">
      <c r="A337" s="1">
        <v>45717</v>
      </c>
      <c r="B337" s="2" t="s">
        <v>83</v>
      </c>
      <c r="C337" s="2" t="s">
        <v>84</v>
      </c>
      <c r="D337" s="2" t="s">
        <v>41</v>
      </c>
      <c r="E337" s="2" t="s">
        <v>42</v>
      </c>
      <c r="F337" s="2" t="s">
        <v>43</v>
      </c>
      <c r="G337" s="2" t="s">
        <v>202</v>
      </c>
      <c r="H337">
        <v>1</v>
      </c>
      <c r="I337">
        <v>1</v>
      </c>
      <c r="J337">
        <v>110.36</v>
      </c>
      <c r="K337">
        <v>0</v>
      </c>
      <c r="L337">
        <v>54</v>
      </c>
      <c r="M337">
        <v>110.36</v>
      </c>
      <c r="N337">
        <v>110.36</v>
      </c>
      <c r="O337">
        <v>54</v>
      </c>
      <c r="P337">
        <v>56.36</v>
      </c>
    </row>
    <row r="338" spans="1:16" x14ac:dyDescent="0.3">
      <c r="A338" s="1">
        <v>45717</v>
      </c>
      <c r="B338" s="2" t="s">
        <v>83</v>
      </c>
      <c r="C338" s="2" t="s">
        <v>84</v>
      </c>
      <c r="D338" s="2" t="s">
        <v>41</v>
      </c>
      <c r="E338" s="2" t="s">
        <v>42</v>
      </c>
      <c r="F338" s="2" t="s">
        <v>48</v>
      </c>
      <c r="G338" s="2" t="s">
        <v>202</v>
      </c>
      <c r="H338">
        <v>1</v>
      </c>
      <c r="I338">
        <v>3</v>
      </c>
      <c r="J338">
        <v>95.97</v>
      </c>
      <c r="K338">
        <v>0</v>
      </c>
      <c r="L338">
        <v>39</v>
      </c>
      <c r="M338">
        <v>287.90999999999997</v>
      </c>
      <c r="N338">
        <v>287.90999999999997</v>
      </c>
      <c r="O338">
        <v>117</v>
      </c>
      <c r="P338">
        <v>170.90999999999997</v>
      </c>
    </row>
    <row r="339" spans="1:16" x14ac:dyDescent="0.3">
      <c r="A339" s="1">
        <v>45717</v>
      </c>
      <c r="B339" s="2" t="s">
        <v>39</v>
      </c>
      <c r="C339" s="2" t="s">
        <v>45</v>
      </c>
      <c r="D339" s="2" t="s">
        <v>41</v>
      </c>
      <c r="E339" s="2" t="s">
        <v>47</v>
      </c>
      <c r="F339" s="2" t="s">
        <v>43</v>
      </c>
      <c r="G339" s="2" t="s">
        <v>183</v>
      </c>
      <c r="H339">
        <v>1</v>
      </c>
      <c r="I339">
        <v>3</v>
      </c>
      <c r="J339">
        <v>1181.8900000000001</v>
      </c>
      <c r="K339">
        <v>0</v>
      </c>
      <c r="L339">
        <v>760</v>
      </c>
      <c r="M339">
        <v>3545.67</v>
      </c>
      <c r="N339">
        <v>3545.67</v>
      </c>
      <c r="O339">
        <v>2280</v>
      </c>
      <c r="P339">
        <v>1265.67</v>
      </c>
    </row>
    <row r="340" spans="1:16" x14ac:dyDescent="0.3">
      <c r="A340" s="1">
        <v>45717</v>
      </c>
      <c r="B340" s="2" t="s">
        <v>56</v>
      </c>
      <c r="C340" s="2" t="s">
        <v>72</v>
      </c>
      <c r="D340" s="2" t="s">
        <v>41</v>
      </c>
      <c r="E340" s="2" t="s">
        <v>47</v>
      </c>
      <c r="F340" s="2" t="s">
        <v>43</v>
      </c>
      <c r="G340" s="2" t="s">
        <v>175</v>
      </c>
      <c r="H340">
        <v>1</v>
      </c>
      <c r="I340">
        <v>2</v>
      </c>
      <c r="J340">
        <v>109.22</v>
      </c>
      <c r="K340">
        <v>0</v>
      </c>
      <c r="L340">
        <v>54</v>
      </c>
      <c r="M340">
        <v>218.44</v>
      </c>
      <c r="N340">
        <v>218.44</v>
      </c>
      <c r="O340">
        <v>108</v>
      </c>
      <c r="P340">
        <v>110.44</v>
      </c>
    </row>
    <row r="341" spans="1:16" x14ac:dyDescent="0.3">
      <c r="A341" s="1">
        <v>45717</v>
      </c>
      <c r="B341" s="2" t="s">
        <v>56</v>
      </c>
      <c r="C341" s="2" t="s">
        <v>62</v>
      </c>
      <c r="D341" s="2" t="s">
        <v>41</v>
      </c>
      <c r="E341" s="2" t="s">
        <v>42</v>
      </c>
      <c r="F341" s="2" t="s">
        <v>52</v>
      </c>
      <c r="G341" s="2" t="s">
        <v>143</v>
      </c>
      <c r="H341">
        <v>1</v>
      </c>
      <c r="I341">
        <v>2</v>
      </c>
      <c r="J341">
        <v>42.15</v>
      </c>
      <c r="K341">
        <v>0</v>
      </c>
      <c r="L341">
        <v>18</v>
      </c>
      <c r="M341">
        <v>84.3</v>
      </c>
      <c r="N341">
        <v>84.3</v>
      </c>
      <c r="O341">
        <v>36</v>
      </c>
      <c r="P341">
        <v>48.3</v>
      </c>
    </row>
    <row r="342" spans="1:16" x14ac:dyDescent="0.3">
      <c r="A342" s="1">
        <v>45992</v>
      </c>
      <c r="B342" s="2" t="s">
        <v>197</v>
      </c>
      <c r="C342" s="2" t="s">
        <v>40</v>
      </c>
      <c r="D342" s="2" t="s">
        <v>50</v>
      </c>
      <c r="E342" s="2" t="s">
        <v>47</v>
      </c>
      <c r="F342" s="2" t="s">
        <v>48</v>
      </c>
      <c r="G342" s="2" t="s">
        <v>198</v>
      </c>
      <c r="H342">
        <v>1</v>
      </c>
      <c r="I342">
        <v>4</v>
      </c>
      <c r="J342">
        <v>143.28</v>
      </c>
      <c r="K342">
        <v>0</v>
      </c>
      <c r="L342">
        <v>63</v>
      </c>
      <c r="M342">
        <v>573.12</v>
      </c>
      <c r="N342">
        <v>573.12</v>
      </c>
      <c r="O342">
        <v>252</v>
      </c>
      <c r="P342">
        <v>321.12</v>
      </c>
    </row>
    <row r="343" spans="1:16" x14ac:dyDescent="0.3">
      <c r="A343" s="1">
        <v>45717</v>
      </c>
      <c r="B343" s="2" t="s">
        <v>39</v>
      </c>
      <c r="C343" s="2" t="s">
        <v>88</v>
      </c>
      <c r="D343" s="2" t="s">
        <v>41</v>
      </c>
      <c r="E343" s="2" t="s">
        <v>51</v>
      </c>
      <c r="F343" s="2" t="s">
        <v>48</v>
      </c>
      <c r="G343" s="2" t="s">
        <v>203</v>
      </c>
      <c r="H343">
        <v>1</v>
      </c>
      <c r="I343">
        <v>18</v>
      </c>
      <c r="J343">
        <v>21.31</v>
      </c>
      <c r="K343">
        <v>0</v>
      </c>
      <c r="L343">
        <v>8</v>
      </c>
      <c r="M343">
        <v>383.58</v>
      </c>
      <c r="N343">
        <v>383.58</v>
      </c>
      <c r="O343">
        <v>144</v>
      </c>
      <c r="P343">
        <v>239.57999999999998</v>
      </c>
    </row>
    <row r="344" spans="1:16" x14ac:dyDescent="0.3">
      <c r="A344" s="1">
        <v>45717</v>
      </c>
      <c r="B344" s="2" t="s">
        <v>39</v>
      </c>
      <c r="C344" s="2" t="s">
        <v>88</v>
      </c>
      <c r="D344" s="2" t="s">
        <v>41</v>
      </c>
      <c r="E344" s="2" t="s">
        <v>51</v>
      </c>
      <c r="F344" s="2" t="s">
        <v>43</v>
      </c>
      <c r="G344" s="2" t="s">
        <v>203</v>
      </c>
      <c r="H344">
        <v>1</v>
      </c>
      <c r="I344">
        <v>11</v>
      </c>
      <c r="J344">
        <v>785.85</v>
      </c>
      <c r="K344">
        <v>0</v>
      </c>
      <c r="L344">
        <v>520</v>
      </c>
      <c r="M344">
        <v>8644.35</v>
      </c>
      <c r="N344">
        <v>8644.35</v>
      </c>
      <c r="O344">
        <v>5720</v>
      </c>
      <c r="P344">
        <v>2924.3500000000004</v>
      </c>
    </row>
    <row r="345" spans="1:16" x14ac:dyDescent="0.3">
      <c r="A345" s="1">
        <v>45717</v>
      </c>
      <c r="B345" s="2" t="s">
        <v>39</v>
      </c>
      <c r="C345" s="2" t="s">
        <v>92</v>
      </c>
      <c r="D345" s="2" t="s">
        <v>50</v>
      </c>
      <c r="E345" s="2" t="s">
        <v>42</v>
      </c>
      <c r="F345" s="2" t="s">
        <v>43</v>
      </c>
      <c r="G345" s="2" t="s">
        <v>97</v>
      </c>
      <c r="H345">
        <v>1</v>
      </c>
      <c r="I345">
        <v>2</v>
      </c>
      <c r="J345">
        <v>111.09</v>
      </c>
      <c r="K345">
        <v>0.05</v>
      </c>
      <c r="L345">
        <v>54</v>
      </c>
      <c r="M345">
        <v>222.18</v>
      </c>
      <c r="N345">
        <v>211.071</v>
      </c>
      <c r="O345">
        <v>108</v>
      </c>
      <c r="P345">
        <v>103.071</v>
      </c>
    </row>
    <row r="346" spans="1:16" x14ac:dyDescent="0.3">
      <c r="A346" s="1">
        <v>45717</v>
      </c>
      <c r="B346" s="2" t="s">
        <v>39</v>
      </c>
      <c r="C346" s="2" t="s">
        <v>78</v>
      </c>
      <c r="D346" s="2" t="s">
        <v>46</v>
      </c>
      <c r="E346" s="2" t="s">
        <v>47</v>
      </c>
      <c r="F346" s="2" t="s">
        <v>48</v>
      </c>
      <c r="G346" s="2" t="s">
        <v>79</v>
      </c>
      <c r="H346">
        <v>1</v>
      </c>
      <c r="I346">
        <v>4</v>
      </c>
      <c r="J346">
        <v>142.69999999999999</v>
      </c>
      <c r="K346">
        <v>0.08</v>
      </c>
      <c r="L346">
        <v>63</v>
      </c>
      <c r="M346">
        <v>570.79999999999995</v>
      </c>
      <c r="N346">
        <v>525.13599999999997</v>
      </c>
      <c r="O346">
        <v>252</v>
      </c>
      <c r="P346">
        <v>273.13599999999997</v>
      </c>
    </row>
    <row r="347" spans="1:16" x14ac:dyDescent="0.3">
      <c r="A347" s="1">
        <v>45717</v>
      </c>
      <c r="B347" s="2" t="s">
        <v>39</v>
      </c>
      <c r="C347" s="2" t="s">
        <v>88</v>
      </c>
      <c r="D347" s="2" t="s">
        <v>95</v>
      </c>
      <c r="E347" s="2" t="s">
        <v>96</v>
      </c>
      <c r="F347" s="2" t="s">
        <v>43</v>
      </c>
      <c r="G347" s="2" t="s">
        <v>204</v>
      </c>
      <c r="H347">
        <v>1</v>
      </c>
      <c r="I347">
        <v>2</v>
      </c>
      <c r="J347">
        <v>178.8</v>
      </c>
      <c r="K347">
        <v>0.05</v>
      </c>
      <c r="L347">
        <v>86</v>
      </c>
      <c r="M347">
        <v>357.6</v>
      </c>
      <c r="N347">
        <v>339.72</v>
      </c>
      <c r="O347">
        <v>172</v>
      </c>
      <c r="P347">
        <v>167.72000000000003</v>
      </c>
    </row>
    <row r="348" spans="1:16" x14ac:dyDescent="0.3">
      <c r="A348" s="1">
        <v>45717</v>
      </c>
      <c r="B348" s="2" t="s">
        <v>39</v>
      </c>
      <c r="C348" s="2" t="s">
        <v>88</v>
      </c>
      <c r="D348" s="2" t="s">
        <v>95</v>
      </c>
      <c r="E348" s="2" t="s">
        <v>96</v>
      </c>
      <c r="F348" s="2" t="s">
        <v>48</v>
      </c>
      <c r="G348" s="2" t="s">
        <v>204</v>
      </c>
      <c r="H348">
        <v>1</v>
      </c>
      <c r="I348">
        <v>5</v>
      </c>
      <c r="J348">
        <v>140.62</v>
      </c>
      <c r="K348">
        <v>0.12</v>
      </c>
      <c r="L348">
        <v>63</v>
      </c>
      <c r="M348">
        <v>703.1</v>
      </c>
      <c r="N348">
        <v>618.72800000000007</v>
      </c>
      <c r="O348">
        <v>315</v>
      </c>
      <c r="P348">
        <v>303.72800000000007</v>
      </c>
    </row>
    <row r="349" spans="1:16" x14ac:dyDescent="0.3">
      <c r="A349" s="1">
        <v>45717</v>
      </c>
      <c r="B349" s="2" t="s">
        <v>39</v>
      </c>
      <c r="C349" s="2" t="s">
        <v>40</v>
      </c>
      <c r="D349" s="2" t="s">
        <v>50</v>
      </c>
      <c r="E349" s="2" t="s">
        <v>47</v>
      </c>
      <c r="F349" s="2" t="s">
        <v>48</v>
      </c>
      <c r="G349" s="2" t="s">
        <v>205</v>
      </c>
      <c r="H349">
        <v>1</v>
      </c>
      <c r="I349">
        <v>4</v>
      </c>
      <c r="J349">
        <v>95.02</v>
      </c>
      <c r="K349">
        <v>0.1</v>
      </c>
      <c r="L349">
        <v>390</v>
      </c>
      <c r="M349">
        <v>380.08</v>
      </c>
      <c r="N349">
        <v>342.072</v>
      </c>
      <c r="O349">
        <v>1560</v>
      </c>
      <c r="P349">
        <v>-1217.9279999999999</v>
      </c>
    </row>
    <row r="350" spans="1:16" x14ac:dyDescent="0.3">
      <c r="A350" s="1">
        <v>45717</v>
      </c>
      <c r="B350" s="2" t="s">
        <v>39</v>
      </c>
      <c r="C350" s="2" t="s">
        <v>40</v>
      </c>
      <c r="D350" s="2" t="s">
        <v>50</v>
      </c>
      <c r="E350" s="2" t="s">
        <v>47</v>
      </c>
      <c r="F350" s="2" t="s">
        <v>43</v>
      </c>
      <c r="G350" s="2" t="s">
        <v>205</v>
      </c>
      <c r="H350">
        <v>1</v>
      </c>
      <c r="I350">
        <v>3</v>
      </c>
      <c r="J350">
        <v>1216.73</v>
      </c>
      <c r="K350">
        <v>0</v>
      </c>
      <c r="L350">
        <v>760</v>
      </c>
      <c r="M350">
        <v>3650.19</v>
      </c>
      <c r="N350">
        <v>3650.19</v>
      </c>
      <c r="O350">
        <v>2280</v>
      </c>
      <c r="P350">
        <v>1370.19</v>
      </c>
    </row>
    <row r="351" spans="1:16" x14ac:dyDescent="0.3">
      <c r="A351" s="1">
        <v>45717</v>
      </c>
      <c r="B351" s="2" t="s">
        <v>56</v>
      </c>
      <c r="C351" s="2" t="s">
        <v>57</v>
      </c>
      <c r="D351" s="2" t="s">
        <v>50</v>
      </c>
      <c r="E351" s="2" t="s">
        <v>42</v>
      </c>
      <c r="F351" s="2" t="s">
        <v>48</v>
      </c>
      <c r="G351" s="2" t="s">
        <v>150</v>
      </c>
      <c r="H351">
        <v>1</v>
      </c>
      <c r="I351">
        <v>4</v>
      </c>
      <c r="J351">
        <v>132.15</v>
      </c>
      <c r="K351">
        <v>0.12</v>
      </c>
      <c r="L351">
        <v>63</v>
      </c>
      <c r="M351">
        <v>528.6</v>
      </c>
      <c r="N351">
        <v>465.16800000000001</v>
      </c>
      <c r="O351">
        <v>252</v>
      </c>
      <c r="P351">
        <v>213.16800000000001</v>
      </c>
    </row>
    <row r="352" spans="1:16" x14ac:dyDescent="0.3">
      <c r="A352" s="1">
        <v>45717</v>
      </c>
      <c r="B352" s="2" t="s">
        <v>75</v>
      </c>
      <c r="C352" s="2" t="s">
        <v>101</v>
      </c>
      <c r="D352" s="2" t="s">
        <v>46</v>
      </c>
      <c r="E352" s="2" t="s">
        <v>42</v>
      </c>
      <c r="F352" s="2" t="s">
        <v>43</v>
      </c>
      <c r="G352" s="2" t="s">
        <v>102</v>
      </c>
      <c r="H352">
        <v>1</v>
      </c>
      <c r="I352">
        <v>2</v>
      </c>
      <c r="J352">
        <v>595.1</v>
      </c>
      <c r="K352">
        <v>0.08</v>
      </c>
      <c r="L352">
        <v>395</v>
      </c>
      <c r="M352">
        <v>1190.2</v>
      </c>
      <c r="N352">
        <v>1094.9840000000002</v>
      </c>
      <c r="O352">
        <v>790</v>
      </c>
      <c r="P352">
        <v>304.98400000000015</v>
      </c>
    </row>
    <row r="353" spans="1:16" x14ac:dyDescent="0.3">
      <c r="A353" s="1">
        <v>45717</v>
      </c>
      <c r="B353" s="2" t="s">
        <v>83</v>
      </c>
      <c r="C353" s="2" t="s">
        <v>164</v>
      </c>
      <c r="D353" s="2" t="s">
        <v>41</v>
      </c>
      <c r="E353" s="2" t="s">
        <v>42</v>
      </c>
      <c r="F353" s="2" t="s">
        <v>43</v>
      </c>
      <c r="G353" s="2" t="s">
        <v>206</v>
      </c>
      <c r="H353">
        <v>1</v>
      </c>
      <c r="I353">
        <v>3</v>
      </c>
      <c r="J353">
        <v>102.84</v>
      </c>
      <c r="K353">
        <v>0</v>
      </c>
      <c r="L353">
        <v>54</v>
      </c>
      <c r="M353">
        <v>308.52</v>
      </c>
      <c r="N353">
        <v>308.52</v>
      </c>
      <c r="O353">
        <v>162</v>
      </c>
      <c r="P353">
        <v>146.51999999999998</v>
      </c>
    </row>
    <row r="354" spans="1:16" x14ac:dyDescent="0.3">
      <c r="A354" s="1">
        <v>45717</v>
      </c>
      <c r="B354" s="2" t="s">
        <v>39</v>
      </c>
      <c r="C354" s="2" t="s">
        <v>45</v>
      </c>
      <c r="D354" s="2" t="s">
        <v>41</v>
      </c>
      <c r="E354" s="2" t="s">
        <v>42</v>
      </c>
      <c r="F354" s="2" t="s">
        <v>48</v>
      </c>
      <c r="G354" s="2" t="s">
        <v>201</v>
      </c>
      <c r="H354">
        <v>1</v>
      </c>
      <c r="I354">
        <v>1</v>
      </c>
      <c r="J354">
        <v>75.37</v>
      </c>
      <c r="K354">
        <v>0.05</v>
      </c>
      <c r="L354">
        <v>31</v>
      </c>
      <c r="M354">
        <v>75.37</v>
      </c>
      <c r="N354">
        <v>71.601500000000001</v>
      </c>
      <c r="O354">
        <v>31</v>
      </c>
      <c r="P354">
        <v>40.601500000000001</v>
      </c>
    </row>
    <row r="355" spans="1:16" x14ac:dyDescent="0.3">
      <c r="A355" s="1">
        <v>45717</v>
      </c>
      <c r="B355" s="2" t="s">
        <v>56</v>
      </c>
      <c r="C355" s="2" t="s">
        <v>72</v>
      </c>
      <c r="D355" s="2" t="s">
        <v>46</v>
      </c>
      <c r="E355" s="2" t="s">
        <v>42</v>
      </c>
      <c r="F355" s="2" t="s">
        <v>48</v>
      </c>
      <c r="G355" s="2" t="s">
        <v>199</v>
      </c>
      <c r="H355">
        <v>2</v>
      </c>
      <c r="I355">
        <v>5</v>
      </c>
      <c r="J355">
        <v>84.34</v>
      </c>
      <c r="K355">
        <v>0.125</v>
      </c>
      <c r="L355">
        <v>35</v>
      </c>
      <c r="M355">
        <v>458.27</v>
      </c>
      <c r="N355">
        <v>393.137</v>
      </c>
      <c r="O355">
        <v>187</v>
      </c>
      <c r="P355">
        <v>206.137</v>
      </c>
    </row>
    <row r="356" spans="1:16" x14ac:dyDescent="0.3">
      <c r="A356" s="1">
        <v>45717</v>
      </c>
      <c r="B356" s="2" t="s">
        <v>56</v>
      </c>
      <c r="C356" s="2" t="s">
        <v>72</v>
      </c>
      <c r="D356" s="2" t="s">
        <v>46</v>
      </c>
      <c r="E356" s="2" t="s">
        <v>42</v>
      </c>
      <c r="F356" s="2" t="s">
        <v>43</v>
      </c>
      <c r="G356" s="2" t="s">
        <v>199</v>
      </c>
      <c r="H356">
        <v>1</v>
      </c>
      <c r="I356">
        <v>3</v>
      </c>
      <c r="J356">
        <v>640.63</v>
      </c>
      <c r="K356">
        <v>0.1</v>
      </c>
      <c r="L356">
        <v>395</v>
      </c>
      <c r="M356">
        <v>1921.8899999999999</v>
      </c>
      <c r="N356">
        <v>1729.701</v>
      </c>
      <c r="O356">
        <v>1185</v>
      </c>
      <c r="P356">
        <v>544.70100000000002</v>
      </c>
    </row>
    <row r="357" spans="1:16" x14ac:dyDescent="0.3">
      <c r="A357" s="1">
        <v>45717</v>
      </c>
      <c r="B357" s="2" t="s">
        <v>56</v>
      </c>
      <c r="C357" s="2" t="s">
        <v>57</v>
      </c>
      <c r="D357" s="2" t="s">
        <v>50</v>
      </c>
      <c r="E357" s="2" t="s">
        <v>47</v>
      </c>
      <c r="F357" s="2" t="s">
        <v>52</v>
      </c>
      <c r="G357" s="2" t="s">
        <v>121</v>
      </c>
      <c r="H357">
        <v>2</v>
      </c>
      <c r="I357">
        <v>6</v>
      </c>
      <c r="J357">
        <v>133.01999999999998</v>
      </c>
      <c r="K357">
        <v>8.4999999999999992E-2</v>
      </c>
      <c r="L357">
        <v>71</v>
      </c>
      <c r="M357">
        <v>973.92</v>
      </c>
      <c r="N357">
        <v>863.36639999999989</v>
      </c>
      <c r="O357">
        <v>532</v>
      </c>
      <c r="P357">
        <v>331.36639999999994</v>
      </c>
    </row>
    <row r="358" spans="1:16" x14ac:dyDescent="0.3">
      <c r="A358" s="1">
        <v>45717</v>
      </c>
      <c r="B358" s="2" t="s">
        <v>56</v>
      </c>
      <c r="C358" s="2" t="s">
        <v>57</v>
      </c>
      <c r="D358" s="2" t="s">
        <v>50</v>
      </c>
      <c r="E358" s="2" t="s">
        <v>47</v>
      </c>
      <c r="F358" s="2" t="s">
        <v>48</v>
      </c>
      <c r="G358" s="2" t="s">
        <v>121</v>
      </c>
      <c r="H358">
        <v>1</v>
      </c>
      <c r="I358">
        <v>1</v>
      </c>
      <c r="J358">
        <v>98.57</v>
      </c>
      <c r="K358">
        <v>0.08</v>
      </c>
      <c r="L358">
        <v>39</v>
      </c>
      <c r="M358">
        <v>98.57</v>
      </c>
      <c r="N358">
        <v>90.684399999999997</v>
      </c>
      <c r="O358">
        <v>39</v>
      </c>
      <c r="P358">
        <v>51.684399999999997</v>
      </c>
    </row>
    <row r="359" spans="1:16" x14ac:dyDescent="0.3">
      <c r="A359" s="1">
        <v>45717</v>
      </c>
      <c r="B359" s="2" t="s">
        <v>65</v>
      </c>
      <c r="C359" s="2" t="s">
        <v>66</v>
      </c>
      <c r="D359" s="2" t="s">
        <v>41</v>
      </c>
      <c r="E359" s="2" t="s">
        <v>47</v>
      </c>
      <c r="F359" s="2" t="s">
        <v>43</v>
      </c>
      <c r="G359" s="2" t="s">
        <v>176</v>
      </c>
      <c r="H359">
        <v>1</v>
      </c>
      <c r="I359">
        <v>3</v>
      </c>
      <c r="J359">
        <v>183.81</v>
      </c>
      <c r="K359">
        <v>0.1</v>
      </c>
      <c r="L359">
        <v>86</v>
      </c>
      <c r="M359">
        <v>551.43000000000006</v>
      </c>
      <c r="N359">
        <v>496.28700000000009</v>
      </c>
      <c r="O359">
        <v>258</v>
      </c>
      <c r="P359">
        <v>238.28700000000009</v>
      </c>
    </row>
    <row r="360" spans="1:16" x14ac:dyDescent="0.3">
      <c r="A360" s="1">
        <v>45717</v>
      </c>
      <c r="B360" s="2" t="s">
        <v>39</v>
      </c>
      <c r="C360" s="2" t="s">
        <v>40</v>
      </c>
      <c r="D360" s="2" t="s">
        <v>46</v>
      </c>
      <c r="E360" s="2" t="s">
        <v>51</v>
      </c>
      <c r="F360" s="2" t="s">
        <v>48</v>
      </c>
      <c r="G360" s="2" t="s">
        <v>99</v>
      </c>
      <c r="H360">
        <v>1</v>
      </c>
      <c r="I360">
        <v>15</v>
      </c>
      <c r="J360">
        <v>21.96</v>
      </c>
      <c r="K360">
        <v>0.08</v>
      </c>
      <c r="L360">
        <v>8</v>
      </c>
      <c r="M360">
        <v>329.40000000000003</v>
      </c>
      <c r="N360">
        <v>303.04800000000006</v>
      </c>
      <c r="O360">
        <v>120</v>
      </c>
      <c r="P360">
        <v>183.04800000000006</v>
      </c>
    </row>
    <row r="361" spans="1:16" x14ac:dyDescent="0.3">
      <c r="A361" s="1">
        <v>45717</v>
      </c>
      <c r="B361" s="2" t="s">
        <v>39</v>
      </c>
      <c r="C361" s="2" t="s">
        <v>88</v>
      </c>
      <c r="D361" s="2" t="s">
        <v>50</v>
      </c>
      <c r="E361" s="2" t="s">
        <v>51</v>
      </c>
      <c r="F361" s="2" t="s">
        <v>48</v>
      </c>
      <c r="G361" s="2" t="s">
        <v>140</v>
      </c>
      <c r="H361">
        <v>1</v>
      </c>
      <c r="I361">
        <v>13</v>
      </c>
      <c r="J361">
        <v>68.03</v>
      </c>
      <c r="K361">
        <v>0.8</v>
      </c>
      <c r="L361">
        <v>31</v>
      </c>
      <c r="M361">
        <v>884.39</v>
      </c>
      <c r="N361">
        <v>176.87799999999996</v>
      </c>
      <c r="O361">
        <v>403</v>
      </c>
      <c r="P361">
        <v>-226.12200000000004</v>
      </c>
    </row>
    <row r="362" spans="1:16" x14ac:dyDescent="0.3">
      <c r="A362" s="1">
        <v>45717</v>
      </c>
      <c r="B362" s="2" t="s">
        <v>56</v>
      </c>
      <c r="C362" s="2" t="s">
        <v>72</v>
      </c>
      <c r="D362" s="2" t="s">
        <v>46</v>
      </c>
      <c r="E362" s="2" t="s">
        <v>51</v>
      </c>
      <c r="F362" s="2" t="s">
        <v>43</v>
      </c>
      <c r="G362" s="2" t="s">
        <v>172</v>
      </c>
      <c r="H362">
        <v>2</v>
      </c>
      <c r="I362">
        <v>20</v>
      </c>
      <c r="J362">
        <v>463.96000000000004</v>
      </c>
      <c r="K362">
        <v>0.08</v>
      </c>
      <c r="L362">
        <v>303</v>
      </c>
      <c r="M362">
        <v>8678.2400000000016</v>
      </c>
      <c r="N362">
        <v>7983.9808000000012</v>
      </c>
      <c r="O362">
        <v>5626</v>
      </c>
      <c r="P362">
        <v>2357.9808000000012</v>
      </c>
    </row>
    <row r="363" spans="1:16" x14ac:dyDescent="0.3">
      <c r="A363" s="1">
        <v>45717</v>
      </c>
      <c r="B363" s="2" t="s">
        <v>56</v>
      </c>
      <c r="C363" s="2" t="s">
        <v>72</v>
      </c>
      <c r="D363" s="2" t="s">
        <v>46</v>
      </c>
      <c r="E363" s="2" t="s">
        <v>51</v>
      </c>
      <c r="F363" s="2" t="s">
        <v>52</v>
      </c>
      <c r="G363" s="2" t="s">
        <v>172</v>
      </c>
      <c r="H363">
        <v>1</v>
      </c>
      <c r="I363">
        <v>6</v>
      </c>
      <c r="J363">
        <v>144.16</v>
      </c>
      <c r="K363">
        <v>0.15</v>
      </c>
      <c r="L363">
        <v>18</v>
      </c>
      <c r="M363">
        <v>864.96</v>
      </c>
      <c r="N363">
        <v>735.21600000000001</v>
      </c>
      <c r="O363">
        <v>108</v>
      </c>
      <c r="P363">
        <v>627.21600000000001</v>
      </c>
    </row>
    <row r="364" spans="1:16" x14ac:dyDescent="0.3">
      <c r="A364" s="1">
        <v>45717</v>
      </c>
      <c r="B364" s="2" t="s">
        <v>39</v>
      </c>
      <c r="C364" s="2" t="s">
        <v>40</v>
      </c>
      <c r="D364" s="2" t="s">
        <v>46</v>
      </c>
      <c r="E364" s="2" t="s">
        <v>42</v>
      </c>
      <c r="F364" s="2" t="s">
        <v>52</v>
      </c>
      <c r="G364" s="2" t="s">
        <v>207</v>
      </c>
      <c r="H364">
        <v>1</v>
      </c>
      <c r="I364">
        <v>2</v>
      </c>
      <c r="J364">
        <v>43.67</v>
      </c>
      <c r="K364">
        <v>0.08</v>
      </c>
      <c r="L364">
        <v>18</v>
      </c>
      <c r="M364">
        <v>87.34</v>
      </c>
      <c r="N364">
        <v>80.352800000000002</v>
      </c>
      <c r="O364">
        <v>36</v>
      </c>
      <c r="P364">
        <v>44.352800000000002</v>
      </c>
    </row>
    <row r="365" spans="1:16" x14ac:dyDescent="0.3">
      <c r="A365" s="1">
        <v>45717</v>
      </c>
      <c r="B365" s="2" t="s">
        <v>65</v>
      </c>
      <c r="C365" s="2" t="s">
        <v>134</v>
      </c>
      <c r="D365" s="2" t="s">
        <v>41</v>
      </c>
      <c r="E365" s="2" t="s">
        <v>51</v>
      </c>
      <c r="F365" s="2" t="s">
        <v>43</v>
      </c>
      <c r="G365" s="2" t="s">
        <v>208</v>
      </c>
      <c r="H365">
        <v>1</v>
      </c>
      <c r="I365">
        <v>13</v>
      </c>
      <c r="J365">
        <v>550.66</v>
      </c>
      <c r="K365">
        <v>0</v>
      </c>
      <c r="L365">
        <v>395</v>
      </c>
      <c r="M365">
        <v>7158.58</v>
      </c>
      <c r="N365">
        <v>7158.58</v>
      </c>
      <c r="O365">
        <v>5135</v>
      </c>
      <c r="P365">
        <v>2023.58</v>
      </c>
    </row>
    <row r="366" spans="1:16" x14ac:dyDescent="0.3">
      <c r="A366" s="1">
        <v>45717</v>
      </c>
      <c r="B366" s="2" t="s">
        <v>39</v>
      </c>
      <c r="C366" s="2" t="s">
        <v>92</v>
      </c>
      <c r="D366" s="2" t="s">
        <v>46</v>
      </c>
      <c r="E366" s="2" t="s">
        <v>42</v>
      </c>
      <c r="F366" s="2" t="s">
        <v>48</v>
      </c>
      <c r="G366" s="2" t="s">
        <v>184</v>
      </c>
      <c r="H366">
        <v>1</v>
      </c>
      <c r="I366">
        <v>1</v>
      </c>
      <c r="J366">
        <v>75.19</v>
      </c>
      <c r="K366">
        <v>0.1</v>
      </c>
      <c r="L366">
        <v>31</v>
      </c>
      <c r="M366">
        <v>75.19</v>
      </c>
      <c r="N366">
        <v>67.671000000000006</v>
      </c>
      <c r="O366">
        <v>31</v>
      </c>
      <c r="P366">
        <v>36.671000000000006</v>
      </c>
    </row>
    <row r="367" spans="1:16" x14ac:dyDescent="0.3">
      <c r="A367" s="1">
        <v>45717</v>
      </c>
      <c r="B367" s="2" t="s">
        <v>39</v>
      </c>
      <c r="C367" s="2" t="s">
        <v>40</v>
      </c>
      <c r="D367" s="2" t="s">
        <v>46</v>
      </c>
      <c r="E367" s="2" t="s">
        <v>42</v>
      </c>
      <c r="F367" s="2" t="s">
        <v>48</v>
      </c>
      <c r="G367" s="2" t="s">
        <v>99</v>
      </c>
      <c r="H367">
        <v>1</v>
      </c>
      <c r="I367">
        <v>3</v>
      </c>
      <c r="J367">
        <v>140.07</v>
      </c>
      <c r="K367">
        <v>0.1</v>
      </c>
      <c r="L367">
        <v>63</v>
      </c>
      <c r="M367">
        <v>420.21</v>
      </c>
      <c r="N367">
        <v>378.18899999999996</v>
      </c>
      <c r="O367">
        <v>189</v>
      </c>
      <c r="P367">
        <v>189.18899999999996</v>
      </c>
    </row>
    <row r="368" spans="1:16" x14ac:dyDescent="0.3">
      <c r="A368" s="1">
        <v>45717</v>
      </c>
      <c r="B368" s="2" t="s">
        <v>39</v>
      </c>
      <c r="C368" s="2" t="s">
        <v>92</v>
      </c>
      <c r="D368" s="2" t="s">
        <v>41</v>
      </c>
      <c r="E368" s="2" t="s">
        <v>51</v>
      </c>
      <c r="F368" s="2" t="s">
        <v>52</v>
      </c>
      <c r="G368" s="2" t="s">
        <v>187</v>
      </c>
      <c r="H368">
        <v>1</v>
      </c>
      <c r="I368">
        <v>6</v>
      </c>
      <c r="J368">
        <v>187.98</v>
      </c>
      <c r="K368">
        <v>0</v>
      </c>
      <c r="L368">
        <v>124</v>
      </c>
      <c r="M368">
        <v>1127.8799999999999</v>
      </c>
      <c r="N368">
        <v>1127.8799999999999</v>
      </c>
      <c r="O368">
        <v>744</v>
      </c>
      <c r="P368">
        <v>383.87999999999988</v>
      </c>
    </row>
    <row r="369" spans="1:16" x14ac:dyDescent="0.3">
      <c r="A369" s="1">
        <v>45717</v>
      </c>
      <c r="B369" s="2" t="s">
        <v>39</v>
      </c>
      <c r="C369" s="2" t="s">
        <v>92</v>
      </c>
      <c r="D369" s="2" t="s">
        <v>41</v>
      </c>
      <c r="E369" s="2" t="s">
        <v>51</v>
      </c>
      <c r="F369" s="2" t="s">
        <v>43</v>
      </c>
      <c r="G369" s="2" t="s">
        <v>187</v>
      </c>
      <c r="H369">
        <v>1</v>
      </c>
      <c r="I369">
        <v>5</v>
      </c>
      <c r="J369">
        <v>98.27</v>
      </c>
      <c r="K369">
        <v>0</v>
      </c>
      <c r="L369">
        <v>54</v>
      </c>
      <c r="M369">
        <v>491.34999999999997</v>
      </c>
      <c r="N369">
        <v>491.34999999999997</v>
      </c>
      <c r="O369">
        <v>270</v>
      </c>
      <c r="P369">
        <v>221.34999999999997</v>
      </c>
    </row>
    <row r="370" spans="1:16" x14ac:dyDescent="0.3">
      <c r="A370" s="1">
        <v>45717</v>
      </c>
      <c r="B370" s="2" t="s">
        <v>56</v>
      </c>
      <c r="C370" s="2" t="s">
        <v>57</v>
      </c>
      <c r="D370" s="2" t="s">
        <v>50</v>
      </c>
      <c r="E370" s="2" t="s">
        <v>42</v>
      </c>
      <c r="F370" s="2" t="s">
        <v>43</v>
      </c>
      <c r="G370" s="2" t="s">
        <v>100</v>
      </c>
      <c r="H370">
        <v>1</v>
      </c>
      <c r="I370">
        <v>1</v>
      </c>
      <c r="J370">
        <v>174.85</v>
      </c>
      <c r="K370">
        <v>0</v>
      </c>
      <c r="L370">
        <v>86</v>
      </c>
      <c r="M370">
        <v>174.85</v>
      </c>
      <c r="N370">
        <v>174.85</v>
      </c>
      <c r="O370">
        <v>86</v>
      </c>
      <c r="P370">
        <v>88.85</v>
      </c>
    </row>
    <row r="371" spans="1:16" x14ac:dyDescent="0.3">
      <c r="A371" s="1">
        <v>45717</v>
      </c>
      <c r="B371" s="2" t="s">
        <v>39</v>
      </c>
      <c r="C371" s="2" t="s">
        <v>88</v>
      </c>
      <c r="D371" s="2" t="s">
        <v>50</v>
      </c>
      <c r="E371" s="2" t="s">
        <v>42</v>
      </c>
      <c r="F371" s="2" t="s">
        <v>43</v>
      </c>
      <c r="G371" s="2" t="s">
        <v>192</v>
      </c>
      <c r="H371">
        <v>1</v>
      </c>
      <c r="I371">
        <v>2</v>
      </c>
      <c r="J371">
        <v>854.08</v>
      </c>
      <c r="K371">
        <v>0.08</v>
      </c>
      <c r="L371">
        <v>520</v>
      </c>
      <c r="M371">
        <v>1708.16</v>
      </c>
      <c r="N371">
        <v>1571.5072000000002</v>
      </c>
      <c r="O371">
        <v>1040</v>
      </c>
      <c r="P371">
        <v>531.50720000000024</v>
      </c>
    </row>
    <row r="372" spans="1:16" x14ac:dyDescent="0.3">
      <c r="A372" s="1">
        <v>45717</v>
      </c>
      <c r="B372" s="2" t="s">
        <v>39</v>
      </c>
      <c r="C372" s="2" t="s">
        <v>88</v>
      </c>
      <c r="D372" s="2" t="s">
        <v>50</v>
      </c>
      <c r="E372" s="2" t="s">
        <v>42</v>
      </c>
      <c r="F372" s="2" t="s">
        <v>52</v>
      </c>
      <c r="G372" s="2" t="s">
        <v>192</v>
      </c>
      <c r="H372">
        <v>1</v>
      </c>
      <c r="I372">
        <v>3</v>
      </c>
      <c r="J372">
        <v>202.88</v>
      </c>
      <c r="K372">
        <v>0.05</v>
      </c>
      <c r="L372">
        <v>124</v>
      </c>
      <c r="M372">
        <v>608.64</v>
      </c>
      <c r="N372">
        <v>578.20799999999997</v>
      </c>
      <c r="O372">
        <v>372</v>
      </c>
      <c r="P372">
        <v>206.20799999999997</v>
      </c>
    </row>
    <row r="373" spans="1:16" x14ac:dyDescent="0.3">
      <c r="A373" s="1">
        <v>45717</v>
      </c>
      <c r="B373" s="2" t="s">
        <v>39</v>
      </c>
      <c r="C373" s="2" t="s">
        <v>78</v>
      </c>
      <c r="D373" s="2" t="s">
        <v>41</v>
      </c>
      <c r="E373" s="2" t="s">
        <v>42</v>
      </c>
      <c r="F373" s="2" t="s">
        <v>48</v>
      </c>
      <c r="G373" s="2" t="s">
        <v>167</v>
      </c>
      <c r="H373">
        <v>1</v>
      </c>
      <c r="I373">
        <v>1</v>
      </c>
      <c r="J373">
        <v>93.79</v>
      </c>
      <c r="K373">
        <v>0</v>
      </c>
      <c r="L373">
        <v>39</v>
      </c>
      <c r="M373">
        <v>93.79</v>
      </c>
      <c r="N373">
        <v>93.79</v>
      </c>
      <c r="O373">
        <v>39</v>
      </c>
      <c r="P373">
        <v>54.790000000000006</v>
      </c>
    </row>
    <row r="374" spans="1:16" x14ac:dyDescent="0.3">
      <c r="A374" s="1">
        <v>45717</v>
      </c>
      <c r="B374" s="2" t="s">
        <v>56</v>
      </c>
      <c r="C374" s="2" t="s">
        <v>72</v>
      </c>
      <c r="D374" s="2" t="s">
        <v>46</v>
      </c>
      <c r="E374" s="2" t="s">
        <v>47</v>
      </c>
      <c r="F374" s="2" t="s">
        <v>48</v>
      </c>
      <c r="G374" s="2" t="s">
        <v>199</v>
      </c>
      <c r="H374">
        <v>1</v>
      </c>
      <c r="I374">
        <v>6</v>
      </c>
      <c r="J374">
        <v>93.16</v>
      </c>
      <c r="K374">
        <v>0.1</v>
      </c>
      <c r="L374">
        <v>39</v>
      </c>
      <c r="M374">
        <v>558.96</v>
      </c>
      <c r="N374">
        <v>503.06400000000002</v>
      </c>
      <c r="O374">
        <v>234</v>
      </c>
      <c r="P374">
        <v>269.06400000000002</v>
      </c>
    </row>
    <row r="375" spans="1:16" x14ac:dyDescent="0.3">
      <c r="A375" s="1">
        <v>45717</v>
      </c>
      <c r="B375" s="2" t="s">
        <v>39</v>
      </c>
      <c r="C375" s="2" t="s">
        <v>54</v>
      </c>
      <c r="D375" s="2" t="s">
        <v>50</v>
      </c>
      <c r="E375" s="2" t="s">
        <v>47</v>
      </c>
      <c r="F375" s="2" t="s">
        <v>48</v>
      </c>
      <c r="G375" s="2" t="s">
        <v>94</v>
      </c>
      <c r="H375">
        <v>1</v>
      </c>
      <c r="I375">
        <v>3</v>
      </c>
      <c r="J375">
        <v>24.47</v>
      </c>
      <c r="K375">
        <v>0.1</v>
      </c>
      <c r="L375">
        <v>8</v>
      </c>
      <c r="M375">
        <v>73.41</v>
      </c>
      <c r="N375">
        <v>66.069000000000003</v>
      </c>
      <c r="O375">
        <v>24</v>
      </c>
      <c r="P375">
        <v>42.069000000000003</v>
      </c>
    </row>
    <row r="376" spans="1:16" x14ac:dyDescent="0.3">
      <c r="A376" s="1">
        <v>45717</v>
      </c>
      <c r="B376" s="2" t="s">
        <v>39</v>
      </c>
      <c r="C376" s="2" t="s">
        <v>54</v>
      </c>
      <c r="D376" s="2" t="s">
        <v>50</v>
      </c>
      <c r="E376" s="2" t="s">
        <v>47</v>
      </c>
      <c r="F376" s="2" t="s">
        <v>43</v>
      </c>
      <c r="G376" s="2" t="s">
        <v>94</v>
      </c>
      <c r="H376">
        <v>3</v>
      </c>
      <c r="I376">
        <v>3</v>
      </c>
      <c r="J376">
        <v>834.74666666666667</v>
      </c>
      <c r="K376">
        <v>6.6666666666666666E-2</v>
      </c>
      <c r="L376">
        <v>524.66666666666663</v>
      </c>
      <c r="M376">
        <v>2504.2400000000002</v>
      </c>
      <c r="N376">
        <v>2373.4540000000006</v>
      </c>
      <c r="O376">
        <v>1574</v>
      </c>
      <c r="P376">
        <v>799.45400000000029</v>
      </c>
    </row>
    <row r="377" spans="1:16" x14ac:dyDescent="0.3">
      <c r="A377" s="1">
        <v>45717</v>
      </c>
      <c r="B377" s="2" t="s">
        <v>39</v>
      </c>
      <c r="C377" s="2" t="s">
        <v>78</v>
      </c>
      <c r="D377" s="2" t="s">
        <v>41</v>
      </c>
      <c r="E377" s="2" t="s">
        <v>42</v>
      </c>
      <c r="F377" s="2" t="s">
        <v>43</v>
      </c>
      <c r="G377" s="2" t="s">
        <v>156</v>
      </c>
      <c r="H377">
        <v>2</v>
      </c>
      <c r="I377">
        <v>4</v>
      </c>
      <c r="J377">
        <v>357.4</v>
      </c>
      <c r="K377">
        <v>2.5000000000000001E-2</v>
      </c>
      <c r="L377">
        <v>224.5</v>
      </c>
      <c r="M377">
        <v>923.56</v>
      </c>
      <c r="N377">
        <v>907.90299999999991</v>
      </c>
      <c r="O377">
        <v>557</v>
      </c>
      <c r="P377">
        <v>350.90299999999991</v>
      </c>
    </row>
    <row r="378" spans="1:16" x14ac:dyDescent="0.3">
      <c r="A378" s="1">
        <v>45717</v>
      </c>
      <c r="B378" s="2" t="s">
        <v>39</v>
      </c>
      <c r="C378" s="2" t="s">
        <v>45</v>
      </c>
      <c r="D378" s="2" t="s">
        <v>50</v>
      </c>
      <c r="E378" s="2" t="s">
        <v>42</v>
      </c>
      <c r="F378" s="2" t="s">
        <v>43</v>
      </c>
      <c r="G378" s="2" t="s">
        <v>209</v>
      </c>
      <c r="H378">
        <v>1</v>
      </c>
      <c r="I378">
        <v>1</v>
      </c>
      <c r="J378">
        <v>816.32</v>
      </c>
      <c r="K378">
        <v>0.08</v>
      </c>
      <c r="L378">
        <v>520</v>
      </c>
      <c r="M378">
        <v>816.32</v>
      </c>
      <c r="N378">
        <v>751.01440000000002</v>
      </c>
      <c r="O378">
        <v>520</v>
      </c>
      <c r="P378">
        <v>231.01440000000002</v>
      </c>
    </row>
    <row r="379" spans="1:16" x14ac:dyDescent="0.3">
      <c r="A379" s="1">
        <v>45717</v>
      </c>
      <c r="B379" s="2" t="s">
        <v>39</v>
      </c>
      <c r="C379" s="2" t="s">
        <v>54</v>
      </c>
      <c r="D379" s="2" t="s">
        <v>50</v>
      </c>
      <c r="E379" s="2" t="s">
        <v>42</v>
      </c>
      <c r="F379" s="2" t="s">
        <v>52</v>
      </c>
      <c r="G379" s="2" t="s">
        <v>94</v>
      </c>
      <c r="H379">
        <v>1</v>
      </c>
      <c r="I379">
        <v>1</v>
      </c>
      <c r="J379">
        <v>204.33</v>
      </c>
      <c r="K379">
        <v>0.08</v>
      </c>
      <c r="L379">
        <v>124</v>
      </c>
      <c r="M379">
        <v>204.33</v>
      </c>
      <c r="N379">
        <v>187.98360000000002</v>
      </c>
      <c r="O379">
        <v>124</v>
      </c>
      <c r="P379">
        <v>63.983600000000024</v>
      </c>
    </row>
    <row r="380" spans="1:16" x14ac:dyDescent="0.3">
      <c r="A380" s="1">
        <v>45717</v>
      </c>
      <c r="B380" s="2" t="s">
        <v>39</v>
      </c>
      <c r="C380" s="2" t="s">
        <v>54</v>
      </c>
      <c r="D380" s="2" t="s">
        <v>50</v>
      </c>
      <c r="E380" s="2" t="s">
        <v>42</v>
      </c>
      <c r="F380" s="2" t="s">
        <v>48</v>
      </c>
      <c r="G380" s="2" t="s">
        <v>94</v>
      </c>
      <c r="H380">
        <v>1</v>
      </c>
      <c r="I380">
        <v>1</v>
      </c>
      <c r="J380">
        <v>23.92</v>
      </c>
      <c r="K380">
        <v>0.05</v>
      </c>
      <c r="L380">
        <v>8</v>
      </c>
      <c r="M380">
        <v>23.92</v>
      </c>
      <c r="N380">
        <v>22.724</v>
      </c>
      <c r="O380">
        <v>8</v>
      </c>
      <c r="P380">
        <v>14.724</v>
      </c>
    </row>
    <row r="381" spans="1:16" x14ac:dyDescent="0.3">
      <c r="A381" s="1">
        <v>45717</v>
      </c>
      <c r="B381" s="2" t="s">
        <v>39</v>
      </c>
      <c r="C381" s="2" t="s">
        <v>54</v>
      </c>
      <c r="D381" s="2" t="s">
        <v>50</v>
      </c>
      <c r="E381" s="2" t="s">
        <v>42</v>
      </c>
      <c r="F381" s="2" t="s">
        <v>43</v>
      </c>
      <c r="G381" s="2" t="s">
        <v>94</v>
      </c>
      <c r="H381">
        <v>1</v>
      </c>
      <c r="I381">
        <v>1</v>
      </c>
      <c r="J381">
        <v>291.8</v>
      </c>
      <c r="K381">
        <v>0.05</v>
      </c>
      <c r="L381">
        <v>182</v>
      </c>
      <c r="M381">
        <v>291.8</v>
      </c>
      <c r="N381">
        <v>277.20999999999998</v>
      </c>
      <c r="O381">
        <v>182</v>
      </c>
      <c r="P381">
        <v>95.20999999999998</v>
      </c>
    </row>
    <row r="382" spans="1:16" x14ac:dyDescent="0.3">
      <c r="A382" s="1">
        <v>45748</v>
      </c>
      <c r="B382" s="2" t="s">
        <v>56</v>
      </c>
      <c r="C382" s="2" t="s">
        <v>57</v>
      </c>
      <c r="D382" s="2" t="s">
        <v>46</v>
      </c>
      <c r="E382" s="2" t="s">
        <v>42</v>
      </c>
      <c r="F382" s="2" t="s">
        <v>43</v>
      </c>
      <c r="G382" s="2" t="s">
        <v>111</v>
      </c>
      <c r="H382">
        <v>2</v>
      </c>
      <c r="I382">
        <v>4</v>
      </c>
      <c r="J382">
        <v>485.10499999999996</v>
      </c>
      <c r="K382">
        <v>8.4999999999999992E-2</v>
      </c>
      <c r="L382">
        <v>303</v>
      </c>
      <c r="M382">
        <v>1310.31</v>
      </c>
      <c r="N382">
        <v>1209.0839999999998</v>
      </c>
      <c r="O382">
        <v>778</v>
      </c>
      <c r="P382">
        <v>431.08399999999995</v>
      </c>
    </row>
    <row r="383" spans="1:16" x14ac:dyDescent="0.3">
      <c r="A383" s="1">
        <v>45748</v>
      </c>
      <c r="B383" s="2" t="s">
        <v>39</v>
      </c>
      <c r="C383" s="2" t="s">
        <v>78</v>
      </c>
      <c r="D383" s="2" t="s">
        <v>46</v>
      </c>
      <c r="E383" s="2" t="s">
        <v>42</v>
      </c>
      <c r="F383" s="2" t="s">
        <v>43</v>
      </c>
      <c r="G383" s="2" t="s">
        <v>79</v>
      </c>
      <c r="H383">
        <v>1</v>
      </c>
      <c r="I383">
        <v>3</v>
      </c>
      <c r="J383">
        <v>597.24</v>
      </c>
      <c r="K383">
        <v>0.12</v>
      </c>
      <c r="L383">
        <v>395</v>
      </c>
      <c r="M383">
        <v>1791.72</v>
      </c>
      <c r="N383">
        <v>1576.7136</v>
      </c>
      <c r="O383">
        <v>1185</v>
      </c>
      <c r="P383">
        <v>391.71360000000004</v>
      </c>
    </row>
    <row r="384" spans="1:16" x14ac:dyDescent="0.3">
      <c r="A384" s="1">
        <v>45748</v>
      </c>
      <c r="B384" s="2" t="s">
        <v>75</v>
      </c>
      <c r="C384" s="2" t="s">
        <v>106</v>
      </c>
      <c r="D384" s="2" t="s">
        <v>41</v>
      </c>
      <c r="E384" s="2" t="s">
        <v>42</v>
      </c>
      <c r="F384" s="2" t="s">
        <v>48</v>
      </c>
      <c r="G384" s="2" t="s">
        <v>132</v>
      </c>
      <c r="H384">
        <v>1</v>
      </c>
      <c r="I384">
        <v>3</v>
      </c>
      <c r="J384">
        <v>72.42</v>
      </c>
      <c r="K384">
        <v>0</v>
      </c>
      <c r="L384">
        <v>31</v>
      </c>
      <c r="M384">
        <v>217.26</v>
      </c>
      <c r="N384">
        <v>217.26</v>
      </c>
      <c r="O384">
        <v>93</v>
      </c>
      <c r="P384">
        <v>124.25999999999999</v>
      </c>
    </row>
    <row r="385" spans="1:16" x14ac:dyDescent="0.3">
      <c r="A385" s="1">
        <v>45748</v>
      </c>
      <c r="B385" s="2" t="s">
        <v>39</v>
      </c>
      <c r="C385" s="2" t="s">
        <v>88</v>
      </c>
      <c r="D385" s="2" t="s">
        <v>46</v>
      </c>
      <c r="E385" s="2" t="s">
        <v>42</v>
      </c>
      <c r="F385" s="2" t="s">
        <v>52</v>
      </c>
      <c r="G385" s="2" t="s">
        <v>210</v>
      </c>
      <c r="H385">
        <v>2</v>
      </c>
      <c r="I385">
        <v>3</v>
      </c>
      <c r="J385">
        <v>209.73</v>
      </c>
      <c r="K385">
        <v>0.13500000000000001</v>
      </c>
      <c r="L385">
        <v>124</v>
      </c>
      <c r="M385">
        <v>633.66</v>
      </c>
      <c r="N385">
        <v>544.76879999999994</v>
      </c>
      <c r="O385">
        <v>372</v>
      </c>
      <c r="P385">
        <v>172.76879999999997</v>
      </c>
    </row>
    <row r="386" spans="1:16" x14ac:dyDescent="0.3">
      <c r="A386" s="1">
        <v>45748</v>
      </c>
      <c r="B386" s="2" t="s">
        <v>39</v>
      </c>
      <c r="C386" s="2" t="s">
        <v>88</v>
      </c>
      <c r="D386" s="2" t="s">
        <v>46</v>
      </c>
      <c r="E386" s="2" t="s">
        <v>42</v>
      </c>
      <c r="F386" s="2" t="s">
        <v>48</v>
      </c>
      <c r="G386" s="2" t="s">
        <v>210</v>
      </c>
      <c r="H386">
        <v>2</v>
      </c>
      <c r="I386">
        <v>6</v>
      </c>
      <c r="J386">
        <v>22.8</v>
      </c>
      <c r="K386">
        <v>0.11</v>
      </c>
      <c r="L386">
        <v>8</v>
      </c>
      <c r="M386">
        <v>136.80000000000001</v>
      </c>
      <c r="N386">
        <v>121.73939999999999</v>
      </c>
      <c r="O386">
        <v>48</v>
      </c>
      <c r="P386">
        <v>73.739399999999989</v>
      </c>
    </row>
    <row r="387" spans="1:16" x14ac:dyDescent="0.3">
      <c r="A387" s="1">
        <v>45748</v>
      </c>
      <c r="B387" s="2" t="s">
        <v>39</v>
      </c>
      <c r="C387" s="2" t="s">
        <v>78</v>
      </c>
      <c r="D387" s="2" t="s">
        <v>41</v>
      </c>
      <c r="E387" s="2" t="s">
        <v>47</v>
      </c>
      <c r="F387" s="2" t="s">
        <v>48</v>
      </c>
      <c r="G387" s="2" t="s">
        <v>182</v>
      </c>
      <c r="H387">
        <v>2</v>
      </c>
      <c r="I387">
        <v>10</v>
      </c>
      <c r="J387">
        <v>82.665000000000006</v>
      </c>
      <c r="K387">
        <v>0</v>
      </c>
      <c r="L387">
        <v>35.5</v>
      </c>
      <c r="M387">
        <v>826.65000000000009</v>
      </c>
      <c r="N387">
        <v>826.65000000000009</v>
      </c>
      <c r="O387">
        <v>355</v>
      </c>
      <c r="P387">
        <v>471.65000000000009</v>
      </c>
    </row>
    <row r="388" spans="1:16" x14ac:dyDescent="0.3">
      <c r="A388" s="1">
        <v>45748</v>
      </c>
      <c r="B388" s="2" t="s">
        <v>39</v>
      </c>
      <c r="C388" s="2" t="s">
        <v>78</v>
      </c>
      <c r="D388" s="2" t="s">
        <v>41</v>
      </c>
      <c r="E388" s="2" t="s">
        <v>47</v>
      </c>
      <c r="F388" s="2" t="s">
        <v>43</v>
      </c>
      <c r="G388" s="2" t="s">
        <v>182</v>
      </c>
      <c r="H388">
        <v>1</v>
      </c>
      <c r="I388">
        <v>4</v>
      </c>
      <c r="J388">
        <v>1182.3900000000001</v>
      </c>
      <c r="K388">
        <v>0.05</v>
      </c>
      <c r="L388">
        <v>760</v>
      </c>
      <c r="M388">
        <v>4729.5600000000004</v>
      </c>
      <c r="N388">
        <v>4493.0820000000003</v>
      </c>
      <c r="O388">
        <v>3040</v>
      </c>
      <c r="P388">
        <v>1453.0820000000003</v>
      </c>
    </row>
    <row r="389" spans="1:16" x14ac:dyDescent="0.3">
      <c r="A389" s="1">
        <v>45748</v>
      </c>
      <c r="B389" s="2" t="s">
        <v>75</v>
      </c>
      <c r="C389" s="2" t="s">
        <v>76</v>
      </c>
      <c r="D389" s="2" t="s">
        <v>46</v>
      </c>
      <c r="E389" s="2" t="s">
        <v>47</v>
      </c>
      <c r="F389" s="2" t="s">
        <v>43</v>
      </c>
      <c r="G389" s="2" t="s">
        <v>77</v>
      </c>
      <c r="H389">
        <v>3</v>
      </c>
      <c r="I389">
        <v>8</v>
      </c>
      <c r="J389">
        <v>198.13</v>
      </c>
      <c r="K389">
        <v>9.3333333333333338E-2</v>
      </c>
      <c r="L389">
        <v>107.33333333333333</v>
      </c>
      <c r="M389">
        <v>1872.6599999999999</v>
      </c>
      <c r="N389">
        <v>1687.5758000000001</v>
      </c>
      <c r="O389">
        <v>1040</v>
      </c>
      <c r="P389">
        <v>647.57580000000007</v>
      </c>
    </row>
    <row r="390" spans="1:16" x14ac:dyDescent="0.3">
      <c r="A390" s="1">
        <v>45748</v>
      </c>
      <c r="B390" s="2" t="s">
        <v>39</v>
      </c>
      <c r="C390" s="2" t="s">
        <v>40</v>
      </c>
      <c r="D390" s="2" t="s">
        <v>46</v>
      </c>
      <c r="E390" s="2" t="s">
        <v>42</v>
      </c>
      <c r="F390" s="2" t="s">
        <v>48</v>
      </c>
      <c r="G390" s="2" t="s">
        <v>82</v>
      </c>
      <c r="H390">
        <v>1</v>
      </c>
      <c r="I390">
        <v>4</v>
      </c>
      <c r="J390">
        <v>96.76</v>
      </c>
      <c r="K390">
        <v>0.1</v>
      </c>
      <c r="L390">
        <v>39</v>
      </c>
      <c r="M390">
        <v>387.04</v>
      </c>
      <c r="N390">
        <v>348.33600000000001</v>
      </c>
      <c r="O390">
        <v>156</v>
      </c>
      <c r="P390">
        <v>192.33600000000001</v>
      </c>
    </row>
    <row r="391" spans="1:16" x14ac:dyDescent="0.3">
      <c r="A391" s="1">
        <v>45748</v>
      </c>
      <c r="B391" s="2" t="s">
        <v>39</v>
      </c>
      <c r="C391" s="2" t="s">
        <v>40</v>
      </c>
      <c r="D391" s="2" t="s">
        <v>46</v>
      </c>
      <c r="E391" s="2" t="s">
        <v>42</v>
      </c>
      <c r="F391" s="2" t="s">
        <v>43</v>
      </c>
      <c r="G391" s="2" t="s">
        <v>82</v>
      </c>
      <c r="H391">
        <v>1</v>
      </c>
      <c r="I391">
        <v>1</v>
      </c>
      <c r="J391">
        <v>294.19</v>
      </c>
      <c r="K391">
        <v>0.08</v>
      </c>
      <c r="L391">
        <v>182</v>
      </c>
      <c r="M391">
        <v>294.19</v>
      </c>
      <c r="N391">
        <v>270.65480000000002</v>
      </c>
      <c r="O391">
        <v>182</v>
      </c>
      <c r="P391">
        <v>88.654800000000023</v>
      </c>
    </row>
    <row r="392" spans="1:16" x14ac:dyDescent="0.3">
      <c r="A392" s="1">
        <v>45748</v>
      </c>
      <c r="B392" s="2" t="s">
        <v>39</v>
      </c>
      <c r="C392" s="2" t="s">
        <v>88</v>
      </c>
      <c r="D392" s="2" t="s">
        <v>95</v>
      </c>
      <c r="E392" s="2" t="s">
        <v>42</v>
      </c>
      <c r="F392" s="2" t="s">
        <v>48</v>
      </c>
      <c r="G392" s="2" t="s">
        <v>204</v>
      </c>
      <c r="H392">
        <v>1</v>
      </c>
      <c r="I392">
        <v>1</v>
      </c>
      <c r="J392">
        <v>94.87</v>
      </c>
      <c r="K392">
        <v>0.08</v>
      </c>
      <c r="L392">
        <v>39</v>
      </c>
      <c r="M392">
        <v>94.87</v>
      </c>
      <c r="N392">
        <v>87.280400000000014</v>
      </c>
      <c r="O392">
        <v>39</v>
      </c>
      <c r="P392">
        <v>48.280400000000014</v>
      </c>
    </row>
    <row r="393" spans="1:16" x14ac:dyDescent="0.3">
      <c r="A393" s="1">
        <v>45748</v>
      </c>
      <c r="B393" s="2" t="s">
        <v>39</v>
      </c>
      <c r="C393" s="2" t="s">
        <v>92</v>
      </c>
      <c r="D393" s="2" t="s">
        <v>46</v>
      </c>
      <c r="E393" s="2" t="s">
        <v>51</v>
      </c>
      <c r="F393" s="2" t="s">
        <v>48</v>
      </c>
      <c r="G393" s="2" t="s">
        <v>93</v>
      </c>
      <c r="H393">
        <v>1</v>
      </c>
      <c r="I393">
        <v>14</v>
      </c>
      <c r="J393">
        <v>21.79</v>
      </c>
      <c r="K393">
        <v>0.08</v>
      </c>
      <c r="L393">
        <v>8</v>
      </c>
      <c r="M393">
        <v>305.06</v>
      </c>
      <c r="N393">
        <v>280.65520000000004</v>
      </c>
      <c r="O393">
        <v>112</v>
      </c>
      <c r="P393">
        <v>168.65520000000004</v>
      </c>
    </row>
    <row r="394" spans="1:16" x14ac:dyDescent="0.3">
      <c r="A394" s="1">
        <v>45748</v>
      </c>
      <c r="B394" s="2" t="s">
        <v>83</v>
      </c>
      <c r="C394" s="2" t="s">
        <v>164</v>
      </c>
      <c r="D394" s="2" t="s">
        <v>50</v>
      </c>
      <c r="E394" s="2" t="s">
        <v>42</v>
      </c>
      <c r="F394" s="2" t="s">
        <v>43</v>
      </c>
      <c r="G394" s="2" t="s">
        <v>211</v>
      </c>
      <c r="H394">
        <v>1</v>
      </c>
      <c r="I394">
        <v>2</v>
      </c>
      <c r="J394">
        <v>628.16999999999996</v>
      </c>
      <c r="K394">
        <v>0.05</v>
      </c>
      <c r="L394">
        <v>395</v>
      </c>
      <c r="M394">
        <v>1256.3399999999999</v>
      </c>
      <c r="N394">
        <v>1193.5229999999999</v>
      </c>
      <c r="O394">
        <v>790</v>
      </c>
      <c r="P394">
        <v>403.52299999999991</v>
      </c>
    </row>
    <row r="395" spans="1:16" x14ac:dyDescent="0.3">
      <c r="A395" s="1">
        <v>45748</v>
      </c>
      <c r="B395" s="2" t="s">
        <v>83</v>
      </c>
      <c r="C395" s="2" t="s">
        <v>164</v>
      </c>
      <c r="D395" s="2" t="s">
        <v>50</v>
      </c>
      <c r="E395" s="2" t="s">
        <v>42</v>
      </c>
      <c r="F395" s="2" t="s">
        <v>48</v>
      </c>
      <c r="G395" s="2" t="s">
        <v>211</v>
      </c>
      <c r="H395">
        <v>2</v>
      </c>
      <c r="I395">
        <v>8</v>
      </c>
      <c r="J395">
        <v>23.545000000000002</v>
      </c>
      <c r="K395">
        <v>6.5000000000000002E-2</v>
      </c>
      <c r="L395">
        <v>8</v>
      </c>
      <c r="M395">
        <v>188.36</v>
      </c>
      <c r="N395">
        <v>176.1712</v>
      </c>
      <c r="O395">
        <v>64</v>
      </c>
      <c r="P395">
        <v>112.1712</v>
      </c>
    </row>
    <row r="396" spans="1:16" x14ac:dyDescent="0.3">
      <c r="A396" s="1">
        <v>45748</v>
      </c>
      <c r="B396" s="2" t="s">
        <v>39</v>
      </c>
      <c r="C396" s="2" t="s">
        <v>40</v>
      </c>
      <c r="D396" s="2" t="s">
        <v>41</v>
      </c>
      <c r="E396" s="2" t="s">
        <v>42</v>
      </c>
      <c r="F396" s="2" t="s">
        <v>48</v>
      </c>
      <c r="G396" s="2" t="s">
        <v>159</v>
      </c>
      <c r="H396">
        <v>1</v>
      </c>
      <c r="I396">
        <v>2</v>
      </c>
      <c r="J396">
        <v>96.68</v>
      </c>
      <c r="K396">
        <v>0</v>
      </c>
      <c r="L396">
        <v>39</v>
      </c>
      <c r="M396">
        <v>193.36</v>
      </c>
      <c r="N396">
        <v>193.36</v>
      </c>
      <c r="O396">
        <v>78</v>
      </c>
      <c r="P396">
        <v>115.36000000000001</v>
      </c>
    </row>
    <row r="397" spans="1:16" x14ac:dyDescent="0.3">
      <c r="A397" s="1">
        <v>45748</v>
      </c>
      <c r="B397" s="2" t="s">
        <v>39</v>
      </c>
      <c r="C397" s="2" t="s">
        <v>40</v>
      </c>
      <c r="D397" s="2" t="s">
        <v>46</v>
      </c>
      <c r="E397" s="2" t="s">
        <v>42</v>
      </c>
      <c r="F397" s="2" t="s">
        <v>48</v>
      </c>
      <c r="G397" s="2" t="s">
        <v>141</v>
      </c>
      <c r="H397">
        <v>1</v>
      </c>
      <c r="I397">
        <v>2</v>
      </c>
      <c r="J397">
        <v>137.37</v>
      </c>
      <c r="K397">
        <v>0.05</v>
      </c>
      <c r="L397">
        <v>63</v>
      </c>
      <c r="M397">
        <v>274.74</v>
      </c>
      <c r="N397">
        <v>261.00299999999999</v>
      </c>
      <c r="O397">
        <v>126</v>
      </c>
      <c r="P397">
        <v>135.00299999999999</v>
      </c>
    </row>
    <row r="398" spans="1:16" x14ac:dyDescent="0.3">
      <c r="A398" s="1">
        <v>45748</v>
      </c>
      <c r="B398" s="2" t="s">
        <v>56</v>
      </c>
      <c r="C398" s="2" t="s">
        <v>57</v>
      </c>
      <c r="D398" s="2" t="s">
        <v>50</v>
      </c>
      <c r="E398" s="2" t="s">
        <v>51</v>
      </c>
      <c r="F398" s="2" t="s">
        <v>43</v>
      </c>
      <c r="G398" s="2" t="s">
        <v>212</v>
      </c>
      <c r="H398">
        <v>1</v>
      </c>
      <c r="I398">
        <v>6</v>
      </c>
      <c r="J398">
        <v>98.31</v>
      </c>
      <c r="K398">
        <v>0.08</v>
      </c>
      <c r="L398">
        <v>54</v>
      </c>
      <c r="M398">
        <v>589.86</v>
      </c>
      <c r="N398">
        <v>542.6712</v>
      </c>
      <c r="O398">
        <v>324</v>
      </c>
      <c r="P398">
        <v>218.6712</v>
      </c>
    </row>
    <row r="399" spans="1:16" x14ac:dyDescent="0.3">
      <c r="A399" s="1">
        <v>45748</v>
      </c>
      <c r="B399" s="2" t="s">
        <v>65</v>
      </c>
      <c r="C399" s="2" t="s">
        <v>80</v>
      </c>
      <c r="D399" s="2" t="s">
        <v>46</v>
      </c>
      <c r="E399" s="2" t="s">
        <v>42</v>
      </c>
      <c r="F399" s="2" t="s">
        <v>43</v>
      </c>
      <c r="G399" s="2" t="s">
        <v>213</v>
      </c>
      <c r="H399">
        <v>1</v>
      </c>
      <c r="I399">
        <v>2</v>
      </c>
      <c r="J399">
        <v>171.85</v>
      </c>
      <c r="K399">
        <v>0.12</v>
      </c>
      <c r="L399">
        <v>86</v>
      </c>
      <c r="M399">
        <v>343.7</v>
      </c>
      <c r="N399">
        <v>302.45600000000002</v>
      </c>
      <c r="O399">
        <v>172</v>
      </c>
      <c r="P399">
        <v>130.45600000000002</v>
      </c>
    </row>
    <row r="400" spans="1:16" x14ac:dyDescent="0.3">
      <c r="A400" s="1">
        <v>45748</v>
      </c>
      <c r="B400" s="2" t="s">
        <v>39</v>
      </c>
      <c r="C400" s="2" t="s">
        <v>92</v>
      </c>
      <c r="D400" s="2" t="s">
        <v>46</v>
      </c>
      <c r="E400" s="2" t="s">
        <v>47</v>
      </c>
      <c r="F400" s="2" t="s">
        <v>43</v>
      </c>
      <c r="G400" s="2" t="s">
        <v>154</v>
      </c>
      <c r="H400">
        <v>1</v>
      </c>
      <c r="I400">
        <v>3</v>
      </c>
      <c r="J400">
        <v>303.74</v>
      </c>
      <c r="K400">
        <v>0.15</v>
      </c>
      <c r="L400">
        <v>182</v>
      </c>
      <c r="M400">
        <v>911.22</v>
      </c>
      <c r="N400">
        <v>774.53700000000003</v>
      </c>
      <c r="O400">
        <v>546</v>
      </c>
      <c r="P400">
        <v>228.53700000000003</v>
      </c>
    </row>
    <row r="401" spans="1:16" x14ac:dyDescent="0.3">
      <c r="A401" s="1">
        <v>45748</v>
      </c>
      <c r="B401" s="2" t="s">
        <v>39</v>
      </c>
      <c r="C401" s="2" t="s">
        <v>40</v>
      </c>
      <c r="D401" s="2" t="s">
        <v>50</v>
      </c>
      <c r="E401" s="2" t="s">
        <v>42</v>
      </c>
      <c r="F401" s="2" t="s">
        <v>43</v>
      </c>
      <c r="G401" s="2" t="s">
        <v>214</v>
      </c>
      <c r="H401">
        <v>1</v>
      </c>
      <c r="I401">
        <v>3</v>
      </c>
      <c r="J401">
        <v>628.32000000000005</v>
      </c>
      <c r="K401">
        <v>0.12</v>
      </c>
      <c r="L401">
        <v>395</v>
      </c>
      <c r="M401">
        <v>1884.96</v>
      </c>
      <c r="N401">
        <v>1658.7648000000002</v>
      </c>
      <c r="O401">
        <v>1185</v>
      </c>
      <c r="P401">
        <v>473.76480000000015</v>
      </c>
    </row>
    <row r="402" spans="1:16" x14ac:dyDescent="0.3">
      <c r="A402" s="1">
        <v>45748</v>
      </c>
      <c r="B402" s="2" t="s">
        <v>39</v>
      </c>
      <c r="C402" s="2" t="s">
        <v>54</v>
      </c>
      <c r="D402" s="2" t="s">
        <v>41</v>
      </c>
      <c r="E402" s="2" t="s">
        <v>47</v>
      </c>
      <c r="F402" s="2" t="s">
        <v>48</v>
      </c>
      <c r="G402" s="2" t="s">
        <v>171</v>
      </c>
      <c r="H402">
        <v>1</v>
      </c>
      <c r="I402">
        <v>5</v>
      </c>
      <c r="J402">
        <v>139.62</v>
      </c>
      <c r="K402">
        <v>0</v>
      </c>
      <c r="L402">
        <v>63</v>
      </c>
      <c r="M402">
        <v>698.1</v>
      </c>
      <c r="N402">
        <v>698.1</v>
      </c>
      <c r="O402">
        <v>315</v>
      </c>
      <c r="P402">
        <v>383.1</v>
      </c>
    </row>
    <row r="403" spans="1:16" x14ac:dyDescent="0.3">
      <c r="A403" s="1">
        <v>45748</v>
      </c>
      <c r="B403" s="2" t="s">
        <v>39</v>
      </c>
      <c r="C403" s="2" t="s">
        <v>54</v>
      </c>
      <c r="D403" s="2" t="s">
        <v>41</v>
      </c>
      <c r="E403" s="2" t="s">
        <v>47</v>
      </c>
      <c r="F403" s="2" t="s">
        <v>43</v>
      </c>
      <c r="G403" s="2" t="s">
        <v>171</v>
      </c>
      <c r="H403">
        <v>1</v>
      </c>
      <c r="I403">
        <v>3</v>
      </c>
      <c r="J403">
        <v>297.56</v>
      </c>
      <c r="K403">
        <v>0</v>
      </c>
      <c r="L403">
        <v>182</v>
      </c>
      <c r="M403">
        <v>892.68000000000006</v>
      </c>
      <c r="N403">
        <v>892.68000000000006</v>
      </c>
      <c r="O403">
        <v>546</v>
      </c>
      <c r="P403">
        <v>346.68000000000006</v>
      </c>
    </row>
    <row r="404" spans="1:16" x14ac:dyDescent="0.3">
      <c r="A404" s="1">
        <v>45748</v>
      </c>
      <c r="B404" s="2" t="s">
        <v>39</v>
      </c>
      <c r="C404" s="2" t="s">
        <v>78</v>
      </c>
      <c r="D404" s="2" t="s">
        <v>50</v>
      </c>
      <c r="E404" s="2" t="s">
        <v>42</v>
      </c>
      <c r="F404" s="2" t="s">
        <v>43</v>
      </c>
      <c r="G404" s="2" t="s">
        <v>163</v>
      </c>
      <c r="H404">
        <v>2</v>
      </c>
      <c r="I404">
        <v>5</v>
      </c>
      <c r="J404">
        <v>696.755</v>
      </c>
      <c r="K404">
        <v>0.05</v>
      </c>
      <c r="L404">
        <v>423</v>
      </c>
      <c r="M404">
        <v>2968.92</v>
      </c>
      <c r="N404">
        <v>2820.4739999999997</v>
      </c>
      <c r="O404">
        <v>1778</v>
      </c>
      <c r="P404">
        <v>1042.4739999999997</v>
      </c>
    </row>
    <row r="405" spans="1:16" x14ac:dyDescent="0.3">
      <c r="A405" s="1">
        <v>45748</v>
      </c>
      <c r="B405" s="2" t="s">
        <v>39</v>
      </c>
      <c r="C405" s="2" t="s">
        <v>78</v>
      </c>
      <c r="D405" s="2" t="s">
        <v>50</v>
      </c>
      <c r="E405" s="2" t="s">
        <v>42</v>
      </c>
      <c r="F405" s="2" t="s">
        <v>48</v>
      </c>
      <c r="G405" s="2" t="s">
        <v>163</v>
      </c>
      <c r="H405">
        <v>2</v>
      </c>
      <c r="I405">
        <v>7</v>
      </c>
      <c r="J405">
        <v>105.10499999999999</v>
      </c>
      <c r="K405">
        <v>0.05</v>
      </c>
      <c r="L405">
        <v>47</v>
      </c>
      <c r="M405">
        <v>705.3599999999999</v>
      </c>
      <c r="N405">
        <v>675.46799999999996</v>
      </c>
      <c r="O405">
        <v>313</v>
      </c>
      <c r="P405">
        <v>362.46799999999996</v>
      </c>
    </row>
    <row r="406" spans="1:16" x14ac:dyDescent="0.3">
      <c r="A406" s="1">
        <v>45748</v>
      </c>
      <c r="B406" s="2" t="s">
        <v>83</v>
      </c>
      <c r="C406" s="2" t="s">
        <v>164</v>
      </c>
      <c r="D406" s="2" t="s">
        <v>50</v>
      </c>
      <c r="E406" s="2" t="s">
        <v>51</v>
      </c>
      <c r="F406" s="2" t="s">
        <v>52</v>
      </c>
      <c r="G406" s="2" t="s">
        <v>211</v>
      </c>
      <c r="H406">
        <v>1</v>
      </c>
      <c r="I406">
        <v>60</v>
      </c>
      <c r="J406">
        <v>191.44</v>
      </c>
      <c r="K406">
        <v>0.1</v>
      </c>
      <c r="L406">
        <v>124</v>
      </c>
      <c r="M406">
        <v>11486.4</v>
      </c>
      <c r="N406">
        <v>10337.76</v>
      </c>
      <c r="O406">
        <v>7440</v>
      </c>
      <c r="P406">
        <v>2897.76</v>
      </c>
    </row>
    <row r="407" spans="1:16" x14ac:dyDescent="0.3">
      <c r="A407" s="1">
        <v>45748</v>
      </c>
      <c r="B407" s="2" t="s">
        <v>39</v>
      </c>
      <c r="C407" s="2" t="s">
        <v>40</v>
      </c>
      <c r="D407" s="2" t="s">
        <v>41</v>
      </c>
      <c r="E407" s="2" t="s">
        <v>47</v>
      </c>
      <c r="F407" s="2" t="s">
        <v>43</v>
      </c>
      <c r="G407" s="2" t="s">
        <v>215</v>
      </c>
      <c r="H407">
        <v>1</v>
      </c>
      <c r="I407">
        <v>2</v>
      </c>
      <c r="J407">
        <v>182.95</v>
      </c>
      <c r="K407">
        <v>0</v>
      </c>
      <c r="L407">
        <v>86</v>
      </c>
      <c r="M407">
        <v>365.9</v>
      </c>
      <c r="N407">
        <v>365.9</v>
      </c>
      <c r="O407">
        <v>172</v>
      </c>
      <c r="P407">
        <v>193.89999999999998</v>
      </c>
    </row>
    <row r="408" spans="1:16" x14ac:dyDescent="0.3">
      <c r="A408" s="1">
        <v>45748</v>
      </c>
      <c r="B408" s="2" t="s">
        <v>56</v>
      </c>
      <c r="C408" s="2" t="s">
        <v>57</v>
      </c>
      <c r="D408" s="2" t="s">
        <v>46</v>
      </c>
      <c r="E408" s="2" t="s">
        <v>51</v>
      </c>
      <c r="F408" s="2" t="s">
        <v>43</v>
      </c>
      <c r="G408" s="2" t="s">
        <v>116</v>
      </c>
      <c r="H408">
        <v>1</v>
      </c>
      <c r="I408">
        <v>3</v>
      </c>
      <c r="J408">
        <v>156.63</v>
      </c>
      <c r="K408">
        <v>0.08</v>
      </c>
      <c r="L408">
        <v>86</v>
      </c>
      <c r="M408">
        <v>469.89</v>
      </c>
      <c r="N408">
        <v>432.29880000000003</v>
      </c>
      <c r="O408">
        <v>258</v>
      </c>
      <c r="P408">
        <v>174.29880000000003</v>
      </c>
    </row>
    <row r="409" spans="1:16" x14ac:dyDescent="0.3">
      <c r="A409" s="1">
        <v>45748</v>
      </c>
      <c r="B409" s="2" t="s">
        <v>83</v>
      </c>
      <c r="C409" s="2" t="s">
        <v>84</v>
      </c>
      <c r="D409" s="2" t="s">
        <v>50</v>
      </c>
      <c r="E409" s="2" t="s">
        <v>42</v>
      </c>
      <c r="F409" s="2" t="s">
        <v>48</v>
      </c>
      <c r="G409" s="2" t="s">
        <v>91</v>
      </c>
      <c r="H409">
        <v>1</v>
      </c>
      <c r="I409">
        <v>2</v>
      </c>
      <c r="J409">
        <v>73.150000000000006</v>
      </c>
      <c r="K409">
        <v>0.1</v>
      </c>
      <c r="L409">
        <v>31</v>
      </c>
      <c r="M409">
        <v>146.30000000000001</v>
      </c>
      <c r="N409">
        <v>131.67000000000002</v>
      </c>
      <c r="O409">
        <v>62</v>
      </c>
      <c r="P409">
        <v>69.670000000000016</v>
      </c>
    </row>
    <row r="410" spans="1:16" x14ac:dyDescent="0.3">
      <c r="A410" s="1">
        <v>45748</v>
      </c>
      <c r="B410" s="2" t="s">
        <v>56</v>
      </c>
      <c r="C410" s="2" t="s">
        <v>62</v>
      </c>
      <c r="D410" s="2" t="s">
        <v>41</v>
      </c>
      <c r="E410" s="2" t="s">
        <v>51</v>
      </c>
      <c r="F410" s="2" t="s">
        <v>43</v>
      </c>
      <c r="G410" s="2" t="s">
        <v>142</v>
      </c>
      <c r="H410">
        <v>2</v>
      </c>
      <c r="I410">
        <v>10</v>
      </c>
      <c r="J410">
        <v>763.13499999999999</v>
      </c>
      <c r="K410">
        <v>0</v>
      </c>
      <c r="L410">
        <v>520</v>
      </c>
      <c r="M410">
        <v>7631.35</v>
      </c>
      <c r="N410">
        <v>7631.35</v>
      </c>
      <c r="O410">
        <v>5200</v>
      </c>
      <c r="P410">
        <v>2431.3500000000004</v>
      </c>
    </row>
    <row r="411" spans="1:16" x14ac:dyDescent="0.3">
      <c r="A411" s="1">
        <v>45748</v>
      </c>
      <c r="B411" s="2" t="s">
        <v>56</v>
      </c>
      <c r="C411" s="2" t="s">
        <v>57</v>
      </c>
      <c r="D411" s="2" t="s">
        <v>46</v>
      </c>
      <c r="E411" s="2" t="s">
        <v>47</v>
      </c>
      <c r="F411" s="2" t="s">
        <v>52</v>
      </c>
      <c r="G411" s="2" t="s">
        <v>116</v>
      </c>
      <c r="H411">
        <v>1</v>
      </c>
      <c r="I411">
        <v>1</v>
      </c>
      <c r="J411">
        <v>45.55</v>
      </c>
      <c r="K411">
        <v>0.1</v>
      </c>
      <c r="L411">
        <v>18</v>
      </c>
      <c r="M411">
        <v>45.55</v>
      </c>
      <c r="N411">
        <v>40.994999999999997</v>
      </c>
      <c r="O411">
        <v>18</v>
      </c>
      <c r="P411">
        <v>22.994999999999997</v>
      </c>
    </row>
    <row r="412" spans="1:16" x14ac:dyDescent="0.3">
      <c r="A412" s="1">
        <v>45992</v>
      </c>
      <c r="B412" s="2" t="s">
        <v>56</v>
      </c>
      <c r="C412" s="2" t="s">
        <v>62</v>
      </c>
      <c r="D412" s="2" t="s">
        <v>41</v>
      </c>
      <c r="E412" s="2" t="s">
        <v>42</v>
      </c>
      <c r="F412" s="2" t="s">
        <v>52</v>
      </c>
      <c r="G412" s="2" t="s">
        <v>143</v>
      </c>
      <c r="H412">
        <v>1</v>
      </c>
      <c r="I412">
        <v>1</v>
      </c>
      <c r="J412">
        <v>213.56</v>
      </c>
      <c r="K412">
        <v>0.05</v>
      </c>
      <c r="L412">
        <v>124</v>
      </c>
      <c r="M412">
        <v>213.56</v>
      </c>
      <c r="N412">
        <v>202.88200000000001</v>
      </c>
      <c r="O412">
        <v>124</v>
      </c>
      <c r="P412">
        <v>78.882000000000005</v>
      </c>
    </row>
    <row r="413" spans="1:16" x14ac:dyDescent="0.3">
      <c r="A413" s="1">
        <v>45748</v>
      </c>
      <c r="B413" s="2" t="s">
        <v>39</v>
      </c>
      <c r="C413" s="2" t="s">
        <v>45</v>
      </c>
      <c r="D413" s="2" t="s">
        <v>41</v>
      </c>
      <c r="E413" s="2" t="s">
        <v>47</v>
      </c>
      <c r="F413" s="2" t="s">
        <v>43</v>
      </c>
      <c r="G413" s="2" t="s">
        <v>132</v>
      </c>
      <c r="H413">
        <v>2</v>
      </c>
      <c r="I413">
        <v>4</v>
      </c>
      <c r="J413">
        <v>180.01</v>
      </c>
      <c r="K413">
        <v>0</v>
      </c>
      <c r="L413">
        <v>86</v>
      </c>
      <c r="M413">
        <v>720.04</v>
      </c>
      <c r="N413">
        <v>720.04</v>
      </c>
      <c r="O413">
        <v>344</v>
      </c>
      <c r="P413">
        <v>376.03999999999996</v>
      </c>
    </row>
    <row r="414" spans="1:16" x14ac:dyDescent="0.3">
      <c r="A414" s="1">
        <v>45748</v>
      </c>
      <c r="B414" s="2" t="s">
        <v>65</v>
      </c>
      <c r="C414" s="2" t="s">
        <v>66</v>
      </c>
      <c r="D414" s="2" t="s">
        <v>50</v>
      </c>
      <c r="E414" s="2" t="s">
        <v>51</v>
      </c>
      <c r="F414" s="2" t="s">
        <v>48</v>
      </c>
      <c r="G414" s="2" t="s">
        <v>49</v>
      </c>
      <c r="H414">
        <v>1</v>
      </c>
      <c r="I414">
        <v>16</v>
      </c>
      <c r="J414">
        <v>21.65</v>
      </c>
      <c r="K414">
        <v>0.05</v>
      </c>
      <c r="L414">
        <v>8</v>
      </c>
      <c r="M414">
        <v>346.4</v>
      </c>
      <c r="N414">
        <v>329.08</v>
      </c>
      <c r="O414">
        <v>128</v>
      </c>
      <c r="P414">
        <v>201.07999999999998</v>
      </c>
    </row>
    <row r="415" spans="1:16" x14ac:dyDescent="0.3">
      <c r="A415" s="1">
        <v>45748</v>
      </c>
      <c r="B415" s="2" t="s">
        <v>39</v>
      </c>
      <c r="C415" s="2" t="s">
        <v>54</v>
      </c>
      <c r="D415" s="2" t="s">
        <v>41</v>
      </c>
      <c r="E415" s="2" t="s">
        <v>42</v>
      </c>
      <c r="F415" s="2" t="s">
        <v>48</v>
      </c>
      <c r="G415" s="2" t="s">
        <v>171</v>
      </c>
      <c r="H415">
        <v>1</v>
      </c>
      <c r="I415">
        <v>4</v>
      </c>
      <c r="J415">
        <v>90.1</v>
      </c>
      <c r="K415">
        <v>0.05</v>
      </c>
      <c r="L415">
        <v>39</v>
      </c>
      <c r="M415">
        <v>360.4</v>
      </c>
      <c r="N415">
        <v>342.37999999999994</v>
      </c>
      <c r="O415">
        <v>156</v>
      </c>
      <c r="P415">
        <v>186.37999999999994</v>
      </c>
    </row>
    <row r="416" spans="1:16" x14ac:dyDescent="0.3">
      <c r="A416" s="1">
        <v>45748</v>
      </c>
      <c r="B416" s="2" t="s">
        <v>39</v>
      </c>
      <c r="C416" s="2" t="s">
        <v>88</v>
      </c>
      <c r="D416" s="2" t="s">
        <v>50</v>
      </c>
      <c r="E416" s="2" t="s">
        <v>47</v>
      </c>
      <c r="F416" s="2" t="s">
        <v>52</v>
      </c>
      <c r="G416" s="2" t="s">
        <v>186</v>
      </c>
      <c r="H416">
        <v>1</v>
      </c>
      <c r="I416">
        <v>1</v>
      </c>
      <c r="J416">
        <v>212.77</v>
      </c>
      <c r="K416">
        <v>0</v>
      </c>
      <c r="L416">
        <v>124</v>
      </c>
      <c r="M416">
        <v>212.77</v>
      </c>
      <c r="N416">
        <v>212.77</v>
      </c>
      <c r="O416">
        <v>124</v>
      </c>
      <c r="P416">
        <v>88.77000000000001</v>
      </c>
    </row>
    <row r="417" spans="1:16" x14ac:dyDescent="0.3">
      <c r="A417" s="1">
        <v>45748</v>
      </c>
      <c r="B417" s="2" t="s">
        <v>39</v>
      </c>
      <c r="C417" s="2" t="s">
        <v>88</v>
      </c>
      <c r="D417" s="2" t="s">
        <v>50</v>
      </c>
      <c r="E417" s="2" t="s">
        <v>47</v>
      </c>
      <c r="F417" s="2" t="s">
        <v>48</v>
      </c>
      <c r="G417" s="2" t="s">
        <v>89</v>
      </c>
      <c r="H417">
        <v>1</v>
      </c>
      <c r="I417">
        <v>4</v>
      </c>
      <c r="J417">
        <v>139.94</v>
      </c>
      <c r="K417">
        <v>0.1</v>
      </c>
      <c r="L417">
        <v>63</v>
      </c>
      <c r="M417">
        <v>559.76</v>
      </c>
      <c r="N417">
        <v>503.78399999999999</v>
      </c>
      <c r="O417">
        <v>252</v>
      </c>
      <c r="P417">
        <v>251.78399999999999</v>
      </c>
    </row>
    <row r="418" spans="1:16" x14ac:dyDescent="0.3">
      <c r="A418" s="1">
        <v>45748</v>
      </c>
      <c r="B418" s="2" t="s">
        <v>39</v>
      </c>
      <c r="C418" s="2" t="s">
        <v>88</v>
      </c>
      <c r="D418" s="2" t="s">
        <v>50</v>
      </c>
      <c r="E418" s="2" t="s">
        <v>47</v>
      </c>
      <c r="F418" s="2" t="s">
        <v>52</v>
      </c>
      <c r="G418" s="2" t="s">
        <v>89</v>
      </c>
      <c r="H418">
        <v>1</v>
      </c>
      <c r="I418">
        <v>4</v>
      </c>
      <c r="J418">
        <v>45.56</v>
      </c>
      <c r="K418">
        <v>0.08</v>
      </c>
      <c r="L418">
        <v>18</v>
      </c>
      <c r="M418">
        <v>182.24</v>
      </c>
      <c r="N418">
        <v>167.66080000000002</v>
      </c>
      <c r="O418">
        <v>72</v>
      </c>
      <c r="P418">
        <v>95.660800000000023</v>
      </c>
    </row>
    <row r="419" spans="1:16" x14ac:dyDescent="0.3">
      <c r="A419" s="1">
        <v>45748</v>
      </c>
      <c r="B419" s="2" t="s">
        <v>39</v>
      </c>
      <c r="C419" s="2" t="s">
        <v>40</v>
      </c>
      <c r="D419" s="2" t="s">
        <v>41</v>
      </c>
      <c r="E419" s="2" t="s">
        <v>47</v>
      </c>
      <c r="F419" s="2" t="s">
        <v>43</v>
      </c>
      <c r="G419" s="2" t="s">
        <v>180</v>
      </c>
      <c r="H419">
        <v>2</v>
      </c>
      <c r="I419">
        <v>2</v>
      </c>
      <c r="J419">
        <v>754.69499999999994</v>
      </c>
      <c r="K419">
        <v>0.25</v>
      </c>
      <c r="L419">
        <v>471</v>
      </c>
      <c r="M419">
        <v>1509.3899999999999</v>
      </c>
      <c r="N419">
        <v>902.125</v>
      </c>
      <c r="O419">
        <v>942</v>
      </c>
      <c r="P419">
        <v>-39.875</v>
      </c>
    </row>
    <row r="420" spans="1:16" x14ac:dyDescent="0.3">
      <c r="A420" s="1">
        <v>45748</v>
      </c>
      <c r="B420" s="2" t="s">
        <v>39</v>
      </c>
      <c r="C420" s="2" t="s">
        <v>40</v>
      </c>
      <c r="D420" s="2" t="s">
        <v>41</v>
      </c>
      <c r="E420" s="2" t="s">
        <v>47</v>
      </c>
      <c r="F420" s="2" t="s">
        <v>52</v>
      </c>
      <c r="G420" s="2" t="s">
        <v>180</v>
      </c>
      <c r="H420">
        <v>1</v>
      </c>
      <c r="I420">
        <v>1</v>
      </c>
      <c r="J420">
        <v>44.45</v>
      </c>
      <c r="K420">
        <v>0</v>
      </c>
      <c r="L420">
        <v>18</v>
      </c>
      <c r="M420">
        <v>44.45</v>
      </c>
      <c r="N420">
        <v>44.45</v>
      </c>
      <c r="O420">
        <v>18</v>
      </c>
      <c r="P420">
        <v>26.450000000000003</v>
      </c>
    </row>
    <row r="421" spans="1:16" x14ac:dyDescent="0.3">
      <c r="A421" s="1">
        <v>45748</v>
      </c>
      <c r="B421" s="2" t="s">
        <v>83</v>
      </c>
      <c r="C421" s="2" t="s">
        <v>84</v>
      </c>
      <c r="D421" s="2" t="s">
        <v>50</v>
      </c>
      <c r="E421" s="2" t="s">
        <v>47</v>
      </c>
      <c r="F421" s="2" t="s">
        <v>48</v>
      </c>
      <c r="G421" s="2" t="s">
        <v>85</v>
      </c>
      <c r="H421">
        <v>1</v>
      </c>
      <c r="I421">
        <v>1</v>
      </c>
      <c r="J421">
        <v>73.23</v>
      </c>
      <c r="K421">
        <v>0.1</v>
      </c>
      <c r="L421">
        <v>31</v>
      </c>
      <c r="M421">
        <v>73.23</v>
      </c>
      <c r="N421">
        <v>65.907000000000011</v>
      </c>
      <c r="O421">
        <v>31</v>
      </c>
      <c r="P421">
        <v>34.907000000000011</v>
      </c>
    </row>
    <row r="422" spans="1:16" x14ac:dyDescent="0.3">
      <c r="A422" s="1">
        <v>45748</v>
      </c>
      <c r="B422" s="2" t="s">
        <v>39</v>
      </c>
      <c r="C422" s="2" t="s">
        <v>54</v>
      </c>
      <c r="D422" s="2" t="s">
        <v>41</v>
      </c>
      <c r="E422" s="2" t="s">
        <v>47</v>
      </c>
      <c r="F422" s="2" t="s">
        <v>48</v>
      </c>
      <c r="G422" s="2" t="s">
        <v>69</v>
      </c>
      <c r="H422">
        <v>1</v>
      </c>
      <c r="I422">
        <v>5</v>
      </c>
      <c r="J422">
        <v>94.04</v>
      </c>
      <c r="K422">
        <v>0</v>
      </c>
      <c r="L422">
        <v>39</v>
      </c>
      <c r="M422">
        <v>470.20000000000005</v>
      </c>
      <c r="N422">
        <v>470.20000000000005</v>
      </c>
      <c r="O422">
        <v>195</v>
      </c>
      <c r="P422">
        <v>275.20000000000005</v>
      </c>
    </row>
    <row r="423" spans="1:16" x14ac:dyDescent="0.3">
      <c r="A423" s="1">
        <v>45748</v>
      </c>
      <c r="B423" s="2" t="s">
        <v>39</v>
      </c>
      <c r="C423" s="2" t="s">
        <v>78</v>
      </c>
      <c r="D423" s="2" t="s">
        <v>41</v>
      </c>
      <c r="E423" s="2" t="s">
        <v>47</v>
      </c>
      <c r="F423" s="2" t="s">
        <v>43</v>
      </c>
      <c r="G423" s="2" t="s">
        <v>119</v>
      </c>
      <c r="H423">
        <v>1</v>
      </c>
      <c r="I423">
        <v>2</v>
      </c>
      <c r="J423">
        <v>176.32</v>
      </c>
      <c r="K423">
        <v>0</v>
      </c>
      <c r="L423">
        <v>86</v>
      </c>
      <c r="M423">
        <v>352.64</v>
      </c>
      <c r="N423">
        <v>352.64</v>
      </c>
      <c r="O423">
        <v>172</v>
      </c>
      <c r="P423">
        <v>180.64</v>
      </c>
    </row>
    <row r="424" spans="1:16" x14ac:dyDescent="0.3">
      <c r="A424" s="1">
        <v>45748</v>
      </c>
      <c r="B424" s="2" t="s">
        <v>39</v>
      </c>
      <c r="C424" s="2" t="s">
        <v>92</v>
      </c>
      <c r="D424" s="2" t="s">
        <v>41</v>
      </c>
      <c r="E424" s="2" t="s">
        <v>51</v>
      </c>
      <c r="F424" s="2" t="s">
        <v>43</v>
      </c>
      <c r="G424" s="2" t="s">
        <v>187</v>
      </c>
      <c r="H424">
        <v>1</v>
      </c>
      <c r="I424">
        <v>5</v>
      </c>
      <c r="J424">
        <v>95.44</v>
      </c>
      <c r="K424">
        <v>0</v>
      </c>
      <c r="L424">
        <v>54</v>
      </c>
      <c r="M424">
        <v>477.2</v>
      </c>
      <c r="N424">
        <v>477.2</v>
      </c>
      <c r="O424">
        <v>270</v>
      </c>
      <c r="P424">
        <v>207.2</v>
      </c>
    </row>
    <row r="425" spans="1:16" x14ac:dyDescent="0.3">
      <c r="A425" s="1">
        <v>45748</v>
      </c>
      <c r="B425" s="2" t="s">
        <v>83</v>
      </c>
      <c r="C425" s="2" t="s">
        <v>126</v>
      </c>
      <c r="D425" s="2" t="s">
        <v>46</v>
      </c>
      <c r="E425" s="2" t="s">
        <v>42</v>
      </c>
      <c r="F425" s="2" t="s">
        <v>48</v>
      </c>
      <c r="G425" s="2" t="s">
        <v>127</v>
      </c>
      <c r="H425">
        <v>2</v>
      </c>
      <c r="I425">
        <v>2</v>
      </c>
      <c r="J425">
        <v>133.26</v>
      </c>
      <c r="K425">
        <v>0.08</v>
      </c>
      <c r="L425">
        <v>63</v>
      </c>
      <c r="M425">
        <v>266.52</v>
      </c>
      <c r="N425">
        <v>245.19839999999999</v>
      </c>
      <c r="O425">
        <v>126</v>
      </c>
      <c r="P425">
        <v>119.19839999999999</v>
      </c>
    </row>
    <row r="426" spans="1:16" x14ac:dyDescent="0.3">
      <c r="A426" s="1">
        <v>45748</v>
      </c>
      <c r="B426" s="2" t="s">
        <v>39</v>
      </c>
      <c r="C426" s="2" t="s">
        <v>92</v>
      </c>
      <c r="D426" s="2" t="s">
        <v>50</v>
      </c>
      <c r="E426" s="2" t="s">
        <v>47</v>
      </c>
      <c r="F426" s="2" t="s">
        <v>52</v>
      </c>
      <c r="G426" s="2" t="s">
        <v>97</v>
      </c>
      <c r="H426">
        <v>1</v>
      </c>
      <c r="I426">
        <v>1</v>
      </c>
      <c r="J426">
        <v>216.23</v>
      </c>
      <c r="K426">
        <v>0.08</v>
      </c>
      <c r="L426">
        <v>124</v>
      </c>
      <c r="M426">
        <v>216.23</v>
      </c>
      <c r="N426">
        <v>198.9316</v>
      </c>
      <c r="O426">
        <v>124</v>
      </c>
      <c r="P426">
        <v>74.931600000000003</v>
      </c>
    </row>
    <row r="427" spans="1:16" x14ac:dyDescent="0.3">
      <c r="A427" s="1">
        <v>45748</v>
      </c>
      <c r="B427" s="2" t="s">
        <v>65</v>
      </c>
      <c r="C427" s="2" t="s">
        <v>66</v>
      </c>
      <c r="D427" s="2" t="s">
        <v>41</v>
      </c>
      <c r="E427" s="2" t="s">
        <v>42</v>
      </c>
      <c r="F427" s="2" t="s">
        <v>48</v>
      </c>
      <c r="G427" s="2" t="s">
        <v>68</v>
      </c>
      <c r="H427">
        <v>1</v>
      </c>
      <c r="I427">
        <v>1</v>
      </c>
      <c r="J427">
        <v>140.34</v>
      </c>
      <c r="K427">
        <v>0</v>
      </c>
      <c r="L427">
        <v>63</v>
      </c>
      <c r="M427">
        <v>140.34</v>
      </c>
      <c r="N427">
        <v>140.34</v>
      </c>
      <c r="O427">
        <v>63</v>
      </c>
      <c r="P427">
        <v>77.34</v>
      </c>
    </row>
    <row r="428" spans="1:16" x14ac:dyDescent="0.3">
      <c r="A428" s="1">
        <v>45748</v>
      </c>
      <c r="B428" s="2" t="s">
        <v>39</v>
      </c>
      <c r="C428" s="2" t="s">
        <v>92</v>
      </c>
      <c r="D428" s="2" t="s">
        <v>41</v>
      </c>
      <c r="E428" s="2" t="s">
        <v>42</v>
      </c>
      <c r="F428" s="2" t="s">
        <v>48</v>
      </c>
      <c r="G428" s="2" t="s">
        <v>148</v>
      </c>
      <c r="H428">
        <v>1</v>
      </c>
      <c r="I428">
        <v>1</v>
      </c>
      <c r="J428">
        <v>134.41</v>
      </c>
      <c r="K428">
        <v>0</v>
      </c>
      <c r="L428">
        <v>63</v>
      </c>
      <c r="M428">
        <v>134.41</v>
      </c>
      <c r="N428">
        <v>134.41</v>
      </c>
      <c r="O428">
        <v>63</v>
      </c>
      <c r="P428">
        <v>71.41</v>
      </c>
    </row>
    <row r="429" spans="1:16" x14ac:dyDescent="0.3">
      <c r="A429" s="1">
        <v>45748</v>
      </c>
      <c r="B429" s="2" t="s">
        <v>39</v>
      </c>
      <c r="C429" s="2" t="s">
        <v>45</v>
      </c>
      <c r="D429" s="2" t="s">
        <v>41</v>
      </c>
      <c r="E429" s="2" t="s">
        <v>42</v>
      </c>
      <c r="F429" s="2" t="s">
        <v>43</v>
      </c>
      <c r="G429" s="2" t="s">
        <v>170</v>
      </c>
      <c r="H429">
        <v>1</v>
      </c>
      <c r="I429">
        <v>3</v>
      </c>
      <c r="J429">
        <v>1138.05</v>
      </c>
      <c r="K429">
        <v>0</v>
      </c>
      <c r="L429">
        <v>760</v>
      </c>
      <c r="M429">
        <v>3414.1499999999996</v>
      </c>
      <c r="N429">
        <v>3414.1499999999996</v>
      </c>
      <c r="O429">
        <v>2280</v>
      </c>
      <c r="P429">
        <v>1134.1499999999996</v>
      </c>
    </row>
    <row r="430" spans="1:16" x14ac:dyDescent="0.3">
      <c r="A430" s="1">
        <v>45748</v>
      </c>
      <c r="B430" s="2" t="s">
        <v>56</v>
      </c>
      <c r="C430" s="2" t="s">
        <v>62</v>
      </c>
      <c r="D430" s="2" t="s">
        <v>50</v>
      </c>
      <c r="E430" s="2" t="s">
        <v>42</v>
      </c>
      <c r="F430" s="2" t="s">
        <v>52</v>
      </c>
      <c r="G430" s="2" t="s">
        <v>139</v>
      </c>
      <c r="H430">
        <v>1</v>
      </c>
      <c r="I430">
        <v>3</v>
      </c>
      <c r="J430">
        <v>43.03</v>
      </c>
      <c r="K430">
        <v>0.08</v>
      </c>
      <c r="L430">
        <v>18</v>
      </c>
      <c r="M430">
        <v>129.09</v>
      </c>
      <c r="N430">
        <v>118.76280000000001</v>
      </c>
      <c r="O430">
        <v>54</v>
      </c>
      <c r="P430">
        <v>64.762800000000013</v>
      </c>
    </row>
    <row r="431" spans="1:16" x14ac:dyDescent="0.3">
      <c r="A431" s="1">
        <v>45748</v>
      </c>
      <c r="B431" s="2" t="s">
        <v>56</v>
      </c>
      <c r="C431" s="2" t="s">
        <v>62</v>
      </c>
      <c r="D431" s="2" t="s">
        <v>50</v>
      </c>
      <c r="E431" s="2" t="s">
        <v>42</v>
      </c>
      <c r="F431" s="2" t="s">
        <v>43</v>
      </c>
      <c r="G431" s="2" t="s">
        <v>139</v>
      </c>
      <c r="H431">
        <v>1</v>
      </c>
      <c r="I431">
        <v>3</v>
      </c>
      <c r="J431">
        <v>844.83</v>
      </c>
      <c r="K431">
        <v>0.05</v>
      </c>
      <c r="L431">
        <v>520</v>
      </c>
      <c r="M431">
        <v>2534.4900000000002</v>
      </c>
      <c r="N431">
        <v>2407.7655</v>
      </c>
      <c r="O431">
        <v>1560</v>
      </c>
      <c r="P431">
        <v>847.76549999999997</v>
      </c>
    </row>
    <row r="432" spans="1:16" x14ac:dyDescent="0.3">
      <c r="A432" s="1">
        <v>45748</v>
      </c>
      <c r="B432" s="2" t="s">
        <v>39</v>
      </c>
      <c r="C432" s="2" t="s">
        <v>45</v>
      </c>
      <c r="D432" s="2" t="s">
        <v>50</v>
      </c>
      <c r="E432" s="2" t="s">
        <v>47</v>
      </c>
      <c r="F432" s="2" t="s">
        <v>48</v>
      </c>
      <c r="G432" s="2" t="s">
        <v>209</v>
      </c>
      <c r="H432">
        <v>1</v>
      </c>
      <c r="I432">
        <v>5</v>
      </c>
      <c r="J432">
        <v>24.7</v>
      </c>
      <c r="K432">
        <v>0.1</v>
      </c>
      <c r="L432">
        <v>8</v>
      </c>
      <c r="M432">
        <v>123.5</v>
      </c>
      <c r="N432">
        <v>111.15</v>
      </c>
      <c r="O432">
        <v>40</v>
      </c>
      <c r="P432">
        <v>71.150000000000006</v>
      </c>
    </row>
    <row r="433" spans="1:16" x14ac:dyDescent="0.3">
      <c r="A433" s="1">
        <v>45748</v>
      </c>
      <c r="B433" s="2" t="s">
        <v>39</v>
      </c>
      <c r="C433" s="2" t="s">
        <v>54</v>
      </c>
      <c r="D433" s="2" t="s">
        <v>41</v>
      </c>
      <c r="E433" s="2" t="s">
        <v>42</v>
      </c>
      <c r="F433" s="2" t="s">
        <v>48</v>
      </c>
      <c r="G433" s="2" t="s">
        <v>55</v>
      </c>
      <c r="H433">
        <v>1</v>
      </c>
      <c r="I433">
        <v>4</v>
      </c>
      <c r="J433">
        <v>22.64</v>
      </c>
      <c r="K433">
        <v>0</v>
      </c>
      <c r="L433">
        <v>8</v>
      </c>
      <c r="M433">
        <v>90.56</v>
      </c>
      <c r="N433">
        <v>90.56</v>
      </c>
      <c r="O433">
        <v>32</v>
      </c>
      <c r="P433">
        <v>58.56</v>
      </c>
    </row>
    <row r="434" spans="1:16" x14ac:dyDescent="0.3">
      <c r="A434" s="1">
        <v>45748</v>
      </c>
      <c r="B434" s="2" t="s">
        <v>39</v>
      </c>
      <c r="C434" s="2" t="s">
        <v>88</v>
      </c>
      <c r="D434" s="2" t="s">
        <v>95</v>
      </c>
      <c r="E434" s="2" t="s">
        <v>47</v>
      </c>
      <c r="F434" s="2" t="s">
        <v>43</v>
      </c>
      <c r="G434" s="2" t="s">
        <v>204</v>
      </c>
      <c r="H434">
        <v>2</v>
      </c>
      <c r="I434">
        <v>2</v>
      </c>
      <c r="J434">
        <v>383.495</v>
      </c>
      <c r="K434">
        <v>6.5000000000000002E-2</v>
      </c>
      <c r="L434">
        <v>224.5</v>
      </c>
      <c r="M434">
        <v>766.99</v>
      </c>
      <c r="N434">
        <v>725.24329999999998</v>
      </c>
      <c r="O434">
        <v>449</v>
      </c>
      <c r="P434">
        <v>276.24329999999998</v>
      </c>
    </row>
    <row r="435" spans="1:16" x14ac:dyDescent="0.3">
      <c r="A435" s="1">
        <v>45748</v>
      </c>
      <c r="B435" s="2" t="s">
        <v>56</v>
      </c>
      <c r="C435" s="2" t="s">
        <v>72</v>
      </c>
      <c r="D435" s="2" t="s">
        <v>41</v>
      </c>
      <c r="E435" s="2" t="s">
        <v>42</v>
      </c>
      <c r="F435" s="2" t="s">
        <v>48</v>
      </c>
      <c r="G435" s="2" t="s">
        <v>175</v>
      </c>
      <c r="H435">
        <v>1</v>
      </c>
      <c r="I435">
        <v>2</v>
      </c>
      <c r="J435">
        <v>73.88</v>
      </c>
      <c r="K435">
        <v>0</v>
      </c>
      <c r="L435">
        <v>31</v>
      </c>
      <c r="M435">
        <v>147.76</v>
      </c>
      <c r="N435">
        <v>147.76</v>
      </c>
      <c r="O435">
        <v>62</v>
      </c>
      <c r="P435">
        <v>85.759999999999991</v>
      </c>
    </row>
    <row r="436" spans="1:16" x14ac:dyDescent="0.3">
      <c r="A436" s="1">
        <v>45748</v>
      </c>
      <c r="B436" s="2" t="s">
        <v>56</v>
      </c>
      <c r="C436" s="2" t="s">
        <v>57</v>
      </c>
      <c r="D436" s="2" t="s">
        <v>41</v>
      </c>
      <c r="E436" s="2" t="s">
        <v>42</v>
      </c>
      <c r="F436" s="2" t="s">
        <v>43</v>
      </c>
      <c r="G436" s="2" t="s">
        <v>86</v>
      </c>
      <c r="H436">
        <v>1</v>
      </c>
      <c r="I436">
        <v>2</v>
      </c>
      <c r="J436">
        <v>173.27</v>
      </c>
      <c r="K436">
        <v>0.1</v>
      </c>
      <c r="L436">
        <v>86</v>
      </c>
      <c r="M436">
        <v>346.54</v>
      </c>
      <c r="N436">
        <v>311.88600000000002</v>
      </c>
      <c r="O436">
        <v>172</v>
      </c>
      <c r="P436">
        <v>139.88600000000002</v>
      </c>
    </row>
    <row r="437" spans="1:16" x14ac:dyDescent="0.3">
      <c r="A437" s="1">
        <v>45748</v>
      </c>
      <c r="B437" s="2" t="s">
        <v>39</v>
      </c>
      <c r="C437" s="2" t="s">
        <v>88</v>
      </c>
      <c r="D437" s="2" t="s">
        <v>50</v>
      </c>
      <c r="E437" s="2" t="s">
        <v>51</v>
      </c>
      <c r="F437" s="2" t="s">
        <v>52</v>
      </c>
      <c r="G437" s="2" t="s">
        <v>125</v>
      </c>
      <c r="H437">
        <v>1</v>
      </c>
      <c r="I437">
        <v>4</v>
      </c>
      <c r="J437">
        <v>196.53</v>
      </c>
      <c r="K437">
        <v>0.08</v>
      </c>
      <c r="L437">
        <v>124</v>
      </c>
      <c r="M437">
        <v>786.12</v>
      </c>
      <c r="N437">
        <v>723.23040000000003</v>
      </c>
      <c r="O437">
        <v>496</v>
      </c>
      <c r="P437">
        <v>227.23040000000003</v>
      </c>
    </row>
    <row r="438" spans="1:16" x14ac:dyDescent="0.3">
      <c r="A438" s="1">
        <v>45748</v>
      </c>
      <c r="B438" s="2" t="s">
        <v>39</v>
      </c>
      <c r="C438" s="2" t="s">
        <v>88</v>
      </c>
      <c r="D438" s="2" t="s">
        <v>50</v>
      </c>
      <c r="E438" s="2" t="s">
        <v>51</v>
      </c>
      <c r="F438" s="2" t="s">
        <v>43</v>
      </c>
      <c r="G438" s="2" t="s">
        <v>125</v>
      </c>
      <c r="H438">
        <v>1</v>
      </c>
      <c r="I438">
        <v>6</v>
      </c>
      <c r="J438">
        <v>163.54</v>
      </c>
      <c r="K438">
        <v>0.08</v>
      </c>
      <c r="L438">
        <v>86</v>
      </c>
      <c r="M438">
        <v>981.24</v>
      </c>
      <c r="N438">
        <v>902.74080000000004</v>
      </c>
      <c r="O438">
        <v>516</v>
      </c>
      <c r="P438">
        <v>386.74080000000004</v>
      </c>
    </row>
    <row r="439" spans="1:16" x14ac:dyDescent="0.3">
      <c r="A439" s="1">
        <v>45748</v>
      </c>
      <c r="B439" s="2" t="s">
        <v>65</v>
      </c>
      <c r="C439" s="2" t="s">
        <v>80</v>
      </c>
      <c r="D439" s="2" t="s">
        <v>46</v>
      </c>
      <c r="E439" s="2" t="s">
        <v>47</v>
      </c>
      <c r="F439" s="2" t="s">
        <v>52</v>
      </c>
      <c r="G439" s="2" t="s">
        <v>213</v>
      </c>
      <c r="H439">
        <v>1</v>
      </c>
      <c r="I439">
        <v>4</v>
      </c>
      <c r="J439">
        <v>212.51</v>
      </c>
      <c r="K439">
        <v>0.12</v>
      </c>
      <c r="L439">
        <v>124</v>
      </c>
      <c r="M439">
        <v>850.04</v>
      </c>
      <c r="N439">
        <v>748.03519999999992</v>
      </c>
      <c r="O439">
        <v>496</v>
      </c>
      <c r="P439">
        <v>252.03519999999992</v>
      </c>
    </row>
    <row r="440" spans="1:16" x14ac:dyDescent="0.3">
      <c r="A440" s="1">
        <v>45748</v>
      </c>
      <c r="B440" s="2" t="s">
        <v>65</v>
      </c>
      <c r="C440" s="2" t="s">
        <v>80</v>
      </c>
      <c r="D440" s="2" t="s">
        <v>46</v>
      </c>
      <c r="E440" s="2" t="s">
        <v>47</v>
      </c>
      <c r="F440" s="2" t="s">
        <v>43</v>
      </c>
      <c r="G440" s="2" t="s">
        <v>213</v>
      </c>
      <c r="H440">
        <v>1</v>
      </c>
      <c r="I440">
        <v>4</v>
      </c>
      <c r="J440">
        <v>1219.2</v>
      </c>
      <c r="K440">
        <v>0.08</v>
      </c>
      <c r="L440">
        <v>760</v>
      </c>
      <c r="M440">
        <v>4876.8</v>
      </c>
      <c r="N440">
        <v>4486.6559999999999</v>
      </c>
      <c r="O440">
        <v>3040</v>
      </c>
      <c r="P440">
        <v>1446.6559999999999</v>
      </c>
    </row>
    <row r="441" spans="1:16" x14ac:dyDescent="0.3">
      <c r="A441" s="1">
        <v>45748</v>
      </c>
      <c r="B441" s="2" t="s">
        <v>39</v>
      </c>
      <c r="C441" s="2" t="s">
        <v>88</v>
      </c>
      <c r="D441" s="2" t="s">
        <v>50</v>
      </c>
      <c r="E441" s="2" t="s">
        <v>96</v>
      </c>
      <c r="F441" s="2" t="s">
        <v>43</v>
      </c>
      <c r="G441" s="2" t="s">
        <v>89</v>
      </c>
      <c r="H441">
        <v>2</v>
      </c>
      <c r="I441">
        <v>15</v>
      </c>
      <c r="J441">
        <v>672.3</v>
      </c>
      <c r="K441">
        <v>0.08</v>
      </c>
      <c r="L441">
        <v>457.5</v>
      </c>
      <c r="M441">
        <v>10365.959999999999</v>
      </c>
      <c r="N441">
        <v>9536.6831999999995</v>
      </c>
      <c r="O441">
        <v>7050</v>
      </c>
      <c r="P441">
        <v>2486.6832000000004</v>
      </c>
    </row>
    <row r="442" spans="1:16" x14ac:dyDescent="0.3">
      <c r="A442" s="1">
        <v>45748</v>
      </c>
      <c r="B442" s="2" t="s">
        <v>56</v>
      </c>
      <c r="C442" s="2" t="s">
        <v>57</v>
      </c>
      <c r="D442" s="2" t="s">
        <v>41</v>
      </c>
      <c r="E442" s="2" t="s">
        <v>42</v>
      </c>
      <c r="F442" s="2" t="s">
        <v>48</v>
      </c>
      <c r="G442" s="2" t="s">
        <v>86</v>
      </c>
      <c r="H442">
        <v>1</v>
      </c>
      <c r="I442">
        <v>2</v>
      </c>
      <c r="J442">
        <v>71.849999999999994</v>
      </c>
      <c r="K442">
        <v>0</v>
      </c>
      <c r="L442">
        <v>31</v>
      </c>
      <c r="M442">
        <v>143.69999999999999</v>
      </c>
      <c r="N442">
        <v>143.69999999999999</v>
      </c>
      <c r="O442">
        <v>62</v>
      </c>
      <c r="P442">
        <v>81.699999999999989</v>
      </c>
    </row>
    <row r="443" spans="1:16" x14ac:dyDescent="0.3">
      <c r="A443" s="1">
        <v>45748</v>
      </c>
      <c r="B443" s="2" t="s">
        <v>39</v>
      </c>
      <c r="C443" s="2" t="s">
        <v>45</v>
      </c>
      <c r="D443" s="2" t="s">
        <v>50</v>
      </c>
      <c r="E443" s="2" t="s">
        <v>47</v>
      </c>
      <c r="F443" s="2" t="s">
        <v>43</v>
      </c>
      <c r="G443" s="2" t="s">
        <v>59</v>
      </c>
      <c r="H443">
        <v>1</v>
      </c>
      <c r="I443">
        <v>4</v>
      </c>
      <c r="J443">
        <v>306.01</v>
      </c>
      <c r="K443">
        <v>0.1</v>
      </c>
      <c r="L443">
        <v>182</v>
      </c>
      <c r="M443">
        <v>1224.04</v>
      </c>
      <c r="N443">
        <v>1101.636</v>
      </c>
      <c r="O443">
        <v>728</v>
      </c>
      <c r="P443">
        <v>373.63599999999997</v>
      </c>
    </row>
    <row r="444" spans="1:16" x14ac:dyDescent="0.3">
      <c r="A444" s="1">
        <v>45748</v>
      </c>
      <c r="B444" s="2" t="s">
        <v>39</v>
      </c>
      <c r="C444" s="2" t="s">
        <v>45</v>
      </c>
      <c r="D444" s="2" t="s">
        <v>50</v>
      </c>
      <c r="E444" s="2" t="s">
        <v>47</v>
      </c>
      <c r="F444" s="2" t="s">
        <v>48</v>
      </c>
      <c r="G444" s="2" t="s">
        <v>59</v>
      </c>
      <c r="H444">
        <v>1</v>
      </c>
      <c r="I444">
        <v>1</v>
      </c>
      <c r="J444">
        <v>75.12</v>
      </c>
      <c r="K444">
        <v>0.05</v>
      </c>
      <c r="L444">
        <v>31</v>
      </c>
      <c r="M444">
        <v>75.12</v>
      </c>
      <c r="N444">
        <v>71.364000000000004</v>
      </c>
      <c r="O444">
        <v>31</v>
      </c>
      <c r="P444">
        <v>40.364000000000004</v>
      </c>
    </row>
    <row r="445" spans="1:16" x14ac:dyDescent="0.3">
      <c r="A445" s="1">
        <v>45748</v>
      </c>
      <c r="B445" s="2" t="s">
        <v>56</v>
      </c>
      <c r="C445" s="2" t="s">
        <v>62</v>
      </c>
      <c r="D445" s="2" t="s">
        <v>41</v>
      </c>
      <c r="E445" s="2" t="s">
        <v>42</v>
      </c>
      <c r="F445" s="2" t="s">
        <v>52</v>
      </c>
      <c r="G445" s="2" t="s">
        <v>142</v>
      </c>
      <c r="H445">
        <v>2</v>
      </c>
      <c r="I445">
        <v>5</v>
      </c>
      <c r="J445">
        <v>43.7</v>
      </c>
      <c r="K445">
        <v>0</v>
      </c>
      <c r="L445">
        <v>18</v>
      </c>
      <c r="M445">
        <v>218.4</v>
      </c>
      <c r="N445">
        <v>218.4</v>
      </c>
      <c r="O445">
        <v>90</v>
      </c>
      <c r="P445">
        <v>128.4</v>
      </c>
    </row>
    <row r="446" spans="1:16" x14ac:dyDescent="0.3">
      <c r="A446" s="1">
        <v>45748</v>
      </c>
      <c r="B446" s="2" t="s">
        <v>56</v>
      </c>
      <c r="C446" s="2" t="s">
        <v>62</v>
      </c>
      <c r="D446" s="2" t="s">
        <v>41</v>
      </c>
      <c r="E446" s="2" t="s">
        <v>42</v>
      </c>
      <c r="F446" s="2" t="s">
        <v>48</v>
      </c>
      <c r="G446" s="2" t="s">
        <v>142</v>
      </c>
      <c r="H446">
        <v>1</v>
      </c>
      <c r="I446">
        <v>4</v>
      </c>
      <c r="J446">
        <v>90.75</v>
      </c>
      <c r="K446">
        <v>0</v>
      </c>
      <c r="L446">
        <v>39</v>
      </c>
      <c r="M446">
        <v>363</v>
      </c>
      <c r="N446">
        <v>363</v>
      </c>
      <c r="O446">
        <v>156</v>
      </c>
      <c r="P446">
        <v>207</v>
      </c>
    </row>
    <row r="447" spans="1:16" x14ac:dyDescent="0.3">
      <c r="A447" s="1">
        <v>45748</v>
      </c>
      <c r="B447" s="2" t="s">
        <v>39</v>
      </c>
      <c r="C447" s="2" t="s">
        <v>45</v>
      </c>
      <c r="D447" s="2" t="s">
        <v>50</v>
      </c>
      <c r="E447" s="2" t="s">
        <v>47</v>
      </c>
      <c r="F447" s="2" t="s">
        <v>43</v>
      </c>
      <c r="G447" s="2" t="s">
        <v>209</v>
      </c>
      <c r="H447">
        <v>1</v>
      </c>
      <c r="I447">
        <v>1</v>
      </c>
      <c r="J447">
        <v>647.17999999999995</v>
      </c>
      <c r="K447">
        <v>0.1</v>
      </c>
      <c r="L447">
        <v>395</v>
      </c>
      <c r="M447">
        <v>647.17999999999995</v>
      </c>
      <c r="N447">
        <v>582.46199999999999</v>
      </c>
      <c r="O447">
        <v>395</v>
      </c>
      <c r="P447">
        <v>187.46199999999999</v>
      </c>
    </row>
    <row r="448" spans="1:16" x14ac:dyDescent="0.3">
      <c r="A448" s="1">
        <v>45748</v>
      </c>
      <c r="B448" s="2" t="s">
        <v>39</v>
      </c>
      <c r="C448" s="2" t="s">
        <v>92</v>
      </c>
      <c r="D448" s="2" t="s">
        <v>41</v>
      </c>
      <c r="E448" s="2" t="s">
        <v>42</v>
      </c>
      <c r="F448" s="2" t="s">
        <v>43</v>
      </c>
      <c r="G448" s="2" t="s">
        <v>111</v>
      </c>
      <c r="H448">
        <v>1</v>
      </c>
      <c r="I448">
        <v>1</v>
      </c>
      <c r="J448">
        <v>1159.76</v>
      </c>
      <c r="K448">
        <v>0</v>
      </c>
      <c r="L448">
        <v>760</v>
      </c>
      <c r="M448">
        <v>1159.76</v>
      </c>
      <c r="N448">
        <v>1159.76</v>
      </c>
      <c r="O448">
        <v>760</v>
      </c>
      <c r="P448">
        <v>399.76</v>
      </c>
    </row>
    <row r="449" spans="1:16" x14ac:dyDescent="0.3">
      <c r="A449" s="1">
        <v>45748</v>
      </c>
      <c r="B449" s="2" t="s">
        <v>39</v>
      </c>
      <c r="C449" s="2" t="s">
        <v>54</v>
      </c>
      <c r="D449" s="2" t="s">
        <v>50</v>
      </c>
      <c r="E449" s="2" t="s">
        <v>42</v>
      </c>
      <c r="F449" s="2" t="s">
        <v>43</v>
      </c>
      <c r="G449" s="2" t="s">
        <v>94</v>
      </c>
      <c r="H449">
        <v>1</v>
      </c>
      <c r="I449">
        <v>1</v>
      </c>
      <c r="J449">
        <v>622.96</v>
      </c>
      <c r="K449">
        <v>0.1</v>
      </c>
      <c r="L449">
        <v>395</v>
      </c>
      <c r="M449">
        <v>622.96</v>
      </c>
      <c r="N449">
        <v>560.6640000000001</v>
      </c>
      <c r="O449">
        <v>395</v>
      </c>
      <c r="P449">
        <v>165.6640000000001</v>
      </c>
    </row>
    <row r="450" spans="1:16" x14ac:dyDescent="0.3">
      <c r="A450" s="1">
        <v>45748</v>
      </c>
      <c r="B450" s="2" t="s">
        <v>39</v>
      </c>
      <c r="C450" s="2" t="s">
        <v>54</v>
      </c>
      <c r="D450" s="2" t="s">
        <v>50</v>
      </c>
      <c r="E450" s="2" t="s">
        <v>42</v>
      </c>
      <c r="F450" s="2" t="s">
        <v>48</v>
      </c>
      <c r="G450" s="2" t="s">
        <v>94</v>
      </c>
      <c r="H450">
        <v>1</v>
      </c>
      <c r="I450">
        <v>2</v>
      </c>
      <c r="J450">
        <v>92.56</v>
      </c>
      <c r="K450">
        <v>0.05</v>
      </c>
      <c r="L450">
        <v>39</v>
      </c>
      <c r="M450">
        <v>185.12</v>
      </c>
      <c r="N450">
        <v>175.864</v>
      </c>
      <c r="O450">
        <v>78</v>
      </c>
      <c r="P450">
        <v>97.864000000000004</v>
      </c>
    </row>
    <row r="451" spans="1:16" x14ac:dyDescent="0.3">
      <c r="A451" s="1">
        <v>45748</v>
      </c>
      <c r="B451" s="2" t="s">
        <v>39</v>
      </c>
      <c r="C451" s="2" t="s">
        <v>45</v>
      </c>
      <c r="D451" s="2" t="s">
        <v>158</v>
      </c>
      <c r="E451" s="2" t="s">
        <v>47</v>
      </c>
      <c r="F451" s="2" t="s">
        <v>48</v>
      </c>
      <c r="G451" s="2" t="s">
        <v>86</v>
      </c>
      <c r="H451">
        <v>1</v>
      </c>
      <c r="I451">
        <v>6</v>
      </c>
      <c r="J451">
        <v>137.01</v>
      </c>
      <c r="K451">
        <v>0</v>
      </c>
      <c r="L451">
        <v>63</v>
      </c>
      <c r="M451">
        <v>822.06</v>
      </c>
      <c r="N451">
        <v>822.06</v>
      </c>
      <c r="O451">
        <v>378</v>
      </c>
      <c r="P451">
        <v>444.05999999999995</v>
      </c>
    </row>
    <row r="452" spans="1:16" x14ac:dyDescent="0.3">
      <c r="A452" s="1">
        <v>45748</v>
      </c>
      <c r="B452" s="2" t="s">
        <v>39</v>
      </c>
      <c r="C452" s="2" t="s">
        <v>88</v>
      </c>
      <c r="D452" s="2" t="s">
        <v>41</v>
      </c>
      <c r="E452" s="2" t="s">
        <v>47</v>
      </c>
      <c r="F452" s="2" t="s">
        <v>48</v>
      </c>
      <c r="G452" s="2" t="s">
        <v>181</v>
      </c>
      <c r="H452">
        <v>3</v>
      </c>
      <c r="I452">
        <v>14</v>
      </c>
      <c r="J452">
        <v>79.73</v>
      </c>
      <c r="K452">
        <v>6.6666666666666666E-2</v>
      </c>
      <c r="L452">
        <v>34</v>
      </c>
      <c r="M452">
        <v>1171.96</v>
      </c>
      <c r="N452">
        <v>1064.3600000000001</v>
      </c>
      <c r="O452">
        <v>502</v>
      </c>
      <c r="P452">
        <v>562.36000000000013</v>
      </c>
    </row>
    <row r="453" spans="1:16" x14ac:dyDescent="0.3">
      <c r="A453" s="1">
        <v>45748</v>
      </c>
      <c r="B453" s="2" t="s">
        <v>39</v>
      </c>
      <c r="C453" s="2" t="s">
        <v>40</v>
      </c>
      <c r="D453" s="2" t="s">
        <v>50</v>
      </c>
      <c r="E453" s="2" t="s">
        <v>51</v>
      </c>
      <c r="F453" s="2" t="s">
        <v>43</v>
      </c>
      <c r="G453" s="2" t="s">
        <v>82</v>
      </c>
      <c r="H453">
        <v>1</v>
      </c>
      <c r="I453">
        <v>7</v>
      </c>
      <c r="J453">
        <v>1042.73</v>
      </c>
      <c r="K453">
        <v>0</v>
      </c>
      <c r="L453">
        <v>760</v>
      </c>
      <c r="M453">
        <v>7299.1100000000006</v>
      </c>
      <c r="N453">
        <v>7299.1100000000006</v>
      </c>
      <c r="O453">
        <v>5320</v>
      </c>
      <c r="P453">
        <v>1979.1100000000006</v>
      </c>
    </row>
    <row r="454" spans="1:16" x14ac:dyDescent="0.3">
      <c r="A454" s="1">
        <v>45748</v>
      </c>
      <c r="B454" s="2" t="s">
        <v>39</v>
      </c>
      <c r="C454" s="2" t="s">
        <v>54</v>
      </c>
      <c r="D454" s="2" t="s">
        <v>41</v>
      </c>
      <c r="E454" s="2" t="s">
        <v>47</v>
      </c>
      <c r="F454" s="2" t="s">
        <v>43</v>
      </c>
      <c r="G454" s="2" t="s">
        <v>168</v>
      </c>
      <c r="H454">
        <v>2</v>
      </c>
      <c r="I454">
        <v>6</v>
      </c>
      <c r="J454">
        <v>208.26</v>
      </c>
      <c r="K454">
        <v>2.5000000000000001E-2</v>
      </c>
      <c r="L454">
        <v>118</v>
      </c>
      <c r="M454">
        <v>1249.56</v>
      </c>
      <c r="N454">
        <v>1203.9255000000001</v>
      </c>
      <c r="O454">
        <v>708</v>
      </c>
      <c r="P454">
        <v>495.92550000000006</v>
      </c>
    </row>
    <row r="455" spans="1:16" x14ac:dyDescent="0.3">
      <c r="A455" s="1">
        <v>45748</v>
      </c>
      <c r="B455" s="2" t="s">
        <v>39</v>
      </c>
      <c r="C455" s="2" t="s">
        <v>92</v>
      </c>
      <c r="D455" s="2" t="s">
        <v>46</v>
      </c>
      <c r="E455" s="2" t="s">
        <v>47</v>
      </c>
      <c r="F455" s="2" t="s">
        <v>48</v>
      </c>
      <c r="G455" s="2" t="s">
        <v>169</v>
      </c>
      <c r="H455">
        <v>2</v>
      </c>
      <c r="I455">
        <v>6</v>
      </c>
      <c r="J455">
        <v>97.01</v>
      </c>
      <c r="K455">
        <v>0.1</v>
      </c>
      <c r="L455">
        <v>39</v>
      </c>
      <c r="M455">
        <v>582.06000000000006</v>
      </c>
      <c r="N455">
        <v>524.02080000000001</v>
      </c>
      <c r="O455">
        <v>234</v>
      </c>
      <c r="P455">
        <v>290.02080000000007</v>
      </c>
    </row>
    <row r="456" spans="1:16" x14ac:dyDescent="0.3">
      <c r="A456" s="1">
        <v>45748</v>
      </c>
      <c r="B456" s="2" t="s">
        <v>39</v>
      </c>
      <c r="C456" s="2" t="s">
        <v>92</v>
      </c>
      <c r="D456" s="2" t="s">
        <v>46</v>
      </c>
      <c r="E456" s="2" t="s">
        <v>47</v>
      </c>
      <c r="F456" s="2" t="s">
        <v>43</v>
      </c>
      <c r="G456" s="2" t="s">
        <v>169</v>
      </c>
      <c r="H456">
        <v>1</v>
      </c>
      <c r="I456">
        <v>1</v>
      </c>
      <c r="J456">
        <v>177.88</v>
      </c>
      <c r="K456">
        <v>0.1</v>
      </c>
      <c r="L456">
        <v>86</v>
      </c>
      <c r="M456">
        <v>177.88</v>
      </c>
      <c r="N456">
        <v>160.09200000000001</v>
      </c>
      <c r="O456">
        <v>86</v>
      </c>
      <c r="P456">
        <v>74.092000000000013</v>
      </c>
    </row>
    <row r="457" spans="1:16" x14ac:dyDescent="0.3">
      <c r="A457" s="1">
        <v>45748</v>
      </c>
      <c r="B457" s="2" t="s">
        <v>83</v>
      </c>
      <c r="C457" s="2" t="s">
        <v>84</v>
      </c>
      <c r="D457" s="2" t="s">
        <v>41</v>
      </c>
      <c r="E457" s="2" t="s">
        <v>42</v>
      </c>
      <c r="F457" s="2" t="s">
        <v>43</v>
      </c>
      <c r="G457" s="2" t="s">
        <v>157</v>
      </c>
      <c r="H457">
        <v>1</v>
      </c>
      <c r="I457">
        <v>2</v>
      </c>
      <c r="J457">
        <v>1180.43</v>
      </c>
      <c r="K457">
        <v>0.05</v>
      </c>
      <c r="L457">
        <v>760</v>
      </c>
      <c r="M457">
        <v>2360.86</v>
      </c>
      <c r="N457">
        <v>2242.817</v>
      </c>
      <c r="O457">
        <v>1520</v>
      </c>
      <c r="P457">
        <v>722.81700000000001</v>
      </c>
    </row>
    <row r="458" spans="1:16" x14ac:dyDescent="0.3">
      <c r="A458" s="1">
        <v>45748</v>
      </c>
      <c r="B458" s="2" t="s">
        <v>83</v>
      </c>
      <c r="C458" s="2" t="s">
        <v>84</v>
      </c>
      <c r="D458" s="2" t="s">
        <v>41</v>
      </c>
      <c r="E458" s="2" t="s">
        <v>42</v>
      </c>
      <c r="F458" s="2" t="s">
        <v>52</v>
      </c>
      <c r="G458" s="2" t="s">
        <v>157</v>
      </c>
      <c r="H458">
        <v>2</v>
      </c>
      <c r="I458">
        <v>3</v>
      </c>
      <c r="J458">
        <v>128.57999999999998</v>
      </c>
      <c r="K458">
        <v>0</v>
      </c>
      <c r="L458">
        <v>71</v>
      </c>
      <c r="M458">
        <v>300.61</v>
      </c>
      <c r="N458">
        <v>300.61</v>
      </c>
      <c r="O458">
        <v>160</v>
      </c>
      <c r="P458">
        <v>140.61000000000001</v>
      </c>
    </row>
    <row r="459" spans="1:16" x14ac:dyDescent="0.3">
      <c r="A459" s="1">
        <v>45748</v>
      </c>
      <c r="B459" s="2" t="s">
        <v>39</v>
      </c>
      <c r="C459" s="2" t="s">
        <v>45</v>
      </c>
      <c r="D459" s="2" t="s">
        <v>41</v>
      </c>
      <c r="E459" s="2" t="s">
        <v>51</v>
      </c>
      <c r="F459" s="2" t="s">
        <v>52</v>
      </c>
      <c r="G459" s="2" t="s">
        <v>87</v>
      </c>
      <c r="H459">
        <v>1</v>
      </c>
      <c r="I459">
        <v>9</v>
      </c>
      <c r="J459">
        <v>39.97</v>
      </c>
      <c r="K459">
        <v>0</v>
      </c>
      <c r="L459">
        <v>18</v>
      </c>
      <c r="M459">
        <v>359.73</v>
      </c>
      <c r="N459">
        <v>359.73</v>
      </c>
      <c r="O459">
        <v>162</v>
      </c>
      <c r="P459">
        <v>197.73000000000002</v>
      </c>
    </row>
    <row r="460" spans="1:16" x14ac:dyDescent="0.3">
      <c r="A460" s="1">
        <v>45748</v>
      </c>
      <c r="B460" s="2" t="s">
        <v>39</v>
      </c>
      <c r="C460" s="2" t="s">
        <v>40</v>
      </c>
      <c r="D460" s="2" t="s">
        <v>41</v>
      </c>
      <c r="E460" s="2" t="s">
        <v>42</v>
      </c>
      <c r="F460" s="2" t="s">
        <v>52</v>
      </c>
      <c r="G460" s="2" t="s">
        <v>144</v>
      </c>
      <c r="H460">
        <v>1</v>
      </c>
      <c r="I460">
        <v>3</v>
      </c>
      <c r="J460">
        <v>212.41</v>
      </c>
      <c r="K460">
        <v>0</v>
      </c>
      <c r="L460">
        <v>124</v>
      </c>
      <c r="M460">
        <v>637.23</v>
      </c>
      <c r="N460">
        <v>637.23</v>
      </c>
      <c r="O460">
        <v>372</v>
      </c>
      <c r="P460">
        <v>265.23</v>
      </c>
    </row>
    <row r="461" spans="1:16" x14ac:dyDescent="0.3">
      <c r="A461" s="1">
        <v>45748</v>
      </c>
      <c r="B461" s="2" t="s">
        <v>39</v>
      </c>
      <c r="C461" s="2" t="s">
        <v>40</v>
      </c>
      <c r="D461" s="2" t="s">
        <v>41</v>
      </c>
      <c r="E461" s="2" t="s">
        <v>42</v>
      </c>
      <c r="F461" s="2" t="s">
        <v>43</v>
      </c>
      <c r="G461" s="2" t="s">
        <v>180</v>
      </c>
      <c r="H461">
        <v>1</v>
      </c>
      <c r="I461">
        <v>2</v>
      </c>
      <c r="J461">
        <v>170.69</v>
      </c>
      <c r="K461">
        <v>0</v>
      </c>
      <c r="L461">
        <v>86</v>
      </c>
      <c r="M461">
        <v>341.38</v>
      </c>
      <c r="N461">
        <v>341.38</v>
      </c>
      <c r="O461">
        <v>172</v>
      </c>
      <c r="P461">
        <v>169.38</v>
      </c>
    </row>
    <row r="462" spans="1:16" x14ac:dyDescent="0.3">
      <c r="A462" s="1">
        <v>45748</v>
      </c>
      <c r="B462" s="2" t="s">
        <v>75</v>
      </c>
      <c r="C462" s="2" t="s">
        <v>76</v>
      </c>
      <c r="D462" s="2" t="s">
        <v>50</v>
      </c>
      <c r="E462" s="2" t="s">
        <v>47</v>
      </c>
      <c r="F462" s="2" t="s">
        <v>52</v>
      </c>
      <c r="G462" s="2" t="s">
        <v>216</v>
      </c>
      <c r="H462">
        <v>1</v>
      </c>
      <c r="I462">
        <v>4</v>
      </c>
      <c r="J462">
        <v>221.06</v>
      </c>
      <c r="K462">
        <v>0.12</v>
      </c>
      <c r="L462">
        <v>124</v>
      </c>
      <c r="M462">
        <v>884.24</v>
      </c>
      <c r="N462">
        <v>778.13120000000004</v>
      </c>
      <c r="O462">
        <v>496</v>
      </c>
      <c r="P462">
        <v>282.13120000000004</v>
      </c>
    </row>
    <row r="463" spans="1:16" x14ac:dyDescent="0.3">
      <c r="A463" s="1">
        <v>45748</v>
      </c>
      <c r="B463" s="2" t="s">
        <v>39</v>
      </c>
      <c r="C463" s="2" t="s">
        <v>92</v>
      </c>
      <c r="D463" s="2" t="s">
        <v>41</v>
      </c>
      <c r="E463" s="2" t="s">
        <v>47</v>
      </c>
      <c r="F463" s="2" t="s">
        <v>52</v>
      </c>
      <c r="G463" s="2" t="s">
        <v>196</v>
      </c>
      <c r="H463">
        <v>1</v>
      </c>
      <c r="I463">
        <v>2</v>
      </c>
      <c r="J463">
        <v>44.63</v>
      </c>
      <c r="K463">
        <v>0</v>
      </c>
      <c r="L463">
        <v>18</v>
      </c>
      <c r="M463">
        <v>89.26</v>
      </c>
      <c r="N463">
        <v>89.26</v>
      </c>
      <c r="O463">
        <v>36</v>
      </c>
      <c r="P463">
        <v>53.260000000000005</v>
      </c>
    </row>
    <row r="464" spans="1:16" x14ac:dyDescent="0.3">
      <c r="A464" s="1">
        <v>45748</v>
      </c>
      <c r="B464" s="2" t="s">
        <v>83</v>
      </c>
      <c r="C464" s="2" t="s">
        <v>84</v>
      </c>
      <c r="D464" s="2" t="s">
        <v>50</v>
      </c>
      <c r="E464" s="2" t="s">
        <v>47</v>
      </c>
      <c r="F464" s="2" t="s">
        <v>43</v>
      </c>
      <c r="G464" s="2" t="s">
        <v>91</v>
      </c>
      <c r="H464">
        <v>1</v>
      </c>
      <c r="I464">
        <v>3</v>
      </c>
      <c r="J464">
        <v>175.98</v>
      </c>
      <c r="K464">
        <v>0</v>
      </c>
      <c r="L464">
        <v>86</v>
      </c>
      <c r="M464">
        <v>527.93999999999994</v>
      </c>
      <c r="N464">
        <v>527.93999999999994</v>
      </c>
      <c r="O464">
        <v>258</v>
      </c>
      <c r="P464">
        <v>269.93999999999994</v>
      </c>
    </row>
    <row r="465" spans="1:16" x14ac:dyDescent="0.3">
      <c r="A465" s="1">
        <v>45748</v>
      </c>
      <c r="B465" s="2" t="s">
        <v>65</v>
      </c>
      <c r="C465" s="2" t="s">
        <v>66</v>
      </c>
      <c r="D465" s="2" t="s">
        <v>41</v>
      </c>
      <c r="E465" s="2" t="s">
        <v>42</v>
      </c>
      <c r="F465" s="2" t="s">
        <v>43</v>
      </c>
      <c r="G465" s="2" t="s">
        <v>176</v>
      </c>
      <c r="H465">
        <v>1</v>
      </c>
      <c r="I465">
        <v>3</v>
      </c>
      <c r="J465">
        <v>302.18</v>
      </c>
      <c r="K465">
        <v>0</v>
      </c>
      <c r="L465">
        <v>182</v>
      </c>
      <c r="M465">
        <v>906.54</v>
      </c>
      <c r="N465">
        <v>906.54</v>
      </c>
      <c r="O465">
        <v>546</v>
      </c>
      <c r="P465">
        <v>360.53999999999996</v>
      </c>
    </row>
    <row r="466" spans="1:16" x14ac:dyDescent="0.3">
      <c r="A466" s="1">
        <v>45748</v>
      </c>
      <c r="B466" s="2" t="s">
        <v>39</v>
      </c>
      <c r="C466" s="2" t="s">
        <v>40</v>
      </c>
      <c r="D466" s="2" t="s">
        <v>46</v>
      </c>
      <c r="E466" s="2" t="s">
        <v>51</v>
      </c>
      <c r="F466" s="2" t="s">
        <v>43</v>
      </c>
      <c r="G466" s="2" t="s">
        <v>120</v>
      </c>
      <c r="H466">
        <v>2</v>
      </c>
      <c r="I466">
        <v>24</v>
      </c>
      <c r="J466">
        <v>188.69</v>
      </c>
      <c r="K466">
        <v>6.5000000000000002E-2</v>
      </c>
      <c r="L466">
        <v>118</v>
      </c>
      <c r="M466">
        <v>4349.92</v>
      </c>
      <c r="N466">
        <v>4093.6696999999995</v>
      </c>
      <c r="O466">
        <v>2704</v>
      </c>
      <c r="P466">
        <v>1389.6696999999995</v>
      </c>
    </row>
    <row r="467" spans="1:16" x14ac:dyDescent="0.3">
      <c r="A467" s="1">
        <v>45748</v>
      </c>
      <c r="B467" s="2" t="s">
        <v>75</v>
      </c>
      <c r="C467" s="2" t="s">
        <v>101</v>
      </c>
      <c r="D467" s="2" t="s">
        <v>50</v>
      </c>
      <c r="E467" s="2" t="s">
        <v>47</v>
      </c>
      <c r="F467" s="2" t="s">
        <v>43</v>
      </c>
      <c r="G467" s="2" t="s">
        <v>162</v>
      </c>
      <c r="H467">
        <v>2</v>
      </c>
      <c r="I467">
        <v>4</v>
      </c>
      <c r="J467">
        <v>705.64</v>
      </c>
      <c r="K467">
        <v>0.06</v>
      </c>
      <c r="L467">
        <v>423</v>
      </c>
      <c r="M467">
        <v>3864.6800000000003</v>
      </c>
      <c r="N467">
        <v>3842.5304000000006</v>
      </c>
      <c r="O467">
        <v>2366</v>
      </c>
      <c r="P467">
        <v>1476.5304000000003</v>
      </c>
    </row>
    <row r="468" spans="1:16" x14ac:dyDescent="0.3">
      <c r="A468" s="1">
        <v>45748</v>
      </c>
      <c r="B468" s="2" t="s">
        <v>75</v>
      </c>
      <c r="C468" s="2" t="s">
        <v>101</v>
      </c>
      <c r="D468" s="2" t="s">
        <v>50</v>
      </c>
      <c r="E468" s="2" t="s">
        <v>47</v>
      </c>
      <c r="F468" s="2" t="s">
        <v>48</v>
      </c>
      <c r="G468" s="2" t="s">
        <v>162</v>
      </c>
      <c r="H468">
        <v>1</v>
      </c>
      <c r="I468">
        <v>4</v>
      </c>
      <c r="J468">
        <v>136.78</v>
      </c>
      <c r="K468">
        <v>0.12</v>
      </c>
      <c r="L468">
        <v>63</v>
      </c>
      <c r="M468">
        <v>547.12</v>
      </c>
      <c r="N468">
        <v>481.46559999999999</v>
      </c>
      <c r="O468">
        <v>252</v>
      </c>
      <c r="P468">
        <v>229.46559999999999</v>
      </c>
    </row>
    <row r="469" spans="1:16" x14ac:dyDescent="0.3">
      <c r="A469" s="1">
        <v>45748</v>
      </c>
      <c r="B469" s="2" t="s">
        <v>56</v>
      </c>
      <c r="C469" s="2" t="s">
        <v>57</v>
      </c>
      <c r="D469" s="2" t="s">
        <v>50</v>
      </c>
      <c r="E469" s="2" t="s">
        <v>42</v>
      </c>
      <c r="F469" s="2" t="s">
        <v>43</v>
      </c>
      <c r="G469" s="2" t="s">
        <v>212</v>
      </c>
      <c r="H469">
        <v>1</v>
      </c>
      <c r="I469">
        <v>2</v>
      </c>
      <c r="J469">
        <v>1140.44</v>
      </c>
      <c r="K469">
        <v>0.08</v>
      </c>
      <c r="L469">
        <v>760</v>
      </c>
      <c r="M469">
        <v>2280.88</v>
      </c>
      <c r="N469">
        <v>2098.4096000000004</v>
      </c>
      <c r="O469">
        <v>1520</v>
      </c>
      <c r="P469">
        <v>578.40960000000041</v>
      </c>
    </row>
    <row r="470" spans="1:16" x14ac:dyDescent="0.3">
      <c r="A470" s="1">
        <v>45748</v>
      </c>
      <c r="B470" s="2" t="s">
        <v>39</v>
      </c>
      <c r="C470" s="2" t="s">
        <v>88</v>
      </c>
      <c r="D470" s="2" t="s">
        <v>41</v>
      </c>
      <c r="E470" s="2" t="s">
        <v>42</v>
      </c>
      <c r="F470" s="2" t="s">
        <v>43</v>
      </c>
      <c r="G470" s="2" t="s">
        <v>136</v>
      </c>
      <c r="H470">
        <v>1</v>
      </c>
      <c r="I470">
        <v>3</v>
      </c>
      <c r="J470">
        <v>640.84</v>
      </c>
      <c r="K470">
        <v>0</v>
      </c>
      <c r="L470">
        <v>395</v>
      </c>
      <c r="M470">
        <v>1922.52</v>
      </c>
      <c r="N470">
        <v>1922.52</v>
      </c>
      <c r="O470">
        <v>1185</v>
      </c>
      <c r="P470">
        <v>737.52</v>
      </c>
    </row>
    <row r="471" spans="1:16" x14ac:dyDescent="0.3">
      <c r="A471" s="1">
        <v>45748</v>
      </c>
      <c r="B471" s="2" t="s">
        <v>39</v>
      </c>
      <c r="C471" s="2" t="s">
        <v>88</v>
      </c>
      <c r="D471" s="2" t="s">
        <v>50</v>
      </c>
      <c r="E471" s="2" t="s">
        <v>42</v>
      </c>
      <c r="F471" s="2" t="s">
        <v>48</v>
      </c>
      <c r="G471" s="2" t="s">
        <v>173</v>
      </c>
      <c r="H471">
        <v>1</v>
      </c>
      <c r="I471">
        <v>4</v>
      </c>
      <c r="J471">
        <v>23.13</v>
      </c>
      <c r="K471">
        <v>0.05</v>
      </c>
      <c r="L471">
        <v>8</v>
      </c>
      <c r="M471">
        <v>92.52</v>
      </c>
      <c r="N471">
        <v>87.893999999999991</v>
      </c>
      <c r="O471">
        <v>32</v>
      </c>
      <c r="P471">
        <v>55.893999999999991</v>
      </c>
    </row>
    <row r="472" spans="1:16" x14ac:dyDescent="0.3">
      <c r="A472" s="1">
        <v>45748</v>
      </c>
      <c r="B472" s="2" t="s">
        <v>39</v>
      </c>
      <c r="C472" s="2" t="s">
        <v>88</v>
      </c>
      <c r="D472" s="2" t="s">
        <v>50</v>
      </c>
      <c r="E472" s="2" t="s">
        <v>42</v>
      </c>
      <c r="F472" s="2" t="s">
        <v>43</v>
      </c>
      <c r="G472" s="2" t="s">
        <v>140</v>
      </c>
      <c r="H472">
        <v>1</v>
      </c>
      <c r="I472">
        <v>1</v>
      </c>
      <c r="J472">
        <v>1124.56</v>
      </c>
      <c r="K472">
        <v>0.05</v>
      </c>
      <c r="L472">
        <v>760</v>
      </c>
      <c r="M472">
        <v>1124.56</v>
      </c>
      <c r="N472">
        <v>1068.3319999999999</v>
      </c>
      <c r="O472">
        <v>760</v>
      </c>
      <c r="P472">
        <v>308.33199999999988</v>
      </c>
    </row>
    <row r="473" spans="1:16" x14ac:dyDescent="0.3">
      <c r="A473" s="1">
        <v>45748</v>
      </c>
      <c r="B473" s="2" t="s">
        <v>65</v>
      </c>
      <c r="C473" s="2" t="s">
        <v>66</v>
      </c>
      <c r="D473" s="2" t="s">
        <v>41</v>
      </c>
      <c r="E473" s="2" t="s">
        <v>42</v>
      </c>
      <c r="F473" s="2" t="s">
        <v>43</v>
      </c>
      <c r="G473" s="2" t="s">
        <v>68</v>
      </c>
      <c r="H473">
        <v>1</v>
      </c>
      <c r="I473">
        <v>3</v>
      </c>
      <c r="J473">
        <v>816.49</v>
      </c>
      <c r="K473">
        <v>0</v>
      </c>
      <c r="L473">
        <v>520</v>
      </c>
      <c r="M473">
        <v>2449.4700000000003</v>
      </c>
      <c r="N473">
        <v>2449.4700000000003</v>
      </c>
      <c r="O473">
        <v>1560</v>
      </c>
      <c r="P473">
        <v>889.47000000000025</v>
      </c>
    </row>
    <row r="474" spans="1:16" x14ac:dyDescent="0.3">
      <c r="A474" s="1">
        <v>45748</v>
      </c>
      <c r="B474" s="2" t="s">
        <v>56</v>
      </c>
      <c r="C474" s="2" t="s">
        <v>57</v>
      </c>
      <c r="D474" s="2" t="s">
        <v>50</v>
      </c>
      <c r="E474" s="2" t="s">
        <v>47</v>
      </c>
      <c r="F474" s="2" t="s">
        <v>48</v>
      </c>
      <c r="G474" s="2" t="s">
        <v>147</v>
      </c>
      <c r="H474">
        <v>1</v>
      </c>
      <c r="I474">
        <v>6</v>
      </c>
      <c r="J474">
        <v>75.989999999999995</v>
      </c>
      <c r="K474">
        <v>0.05</v>
      </c>
      <c r="L474">
        <v>31</v>
      </c>
      <c r="M474">
        <v>455.93999999999994</v>
      </c>
      <c r="N474">
        <v>433.14299999999992</v>
      </c>
      <c r="O474">
        <v>186</v>
      </c>
      <c r="P474">
        <v>247.14299999999992</v>
      </c>
    </row>
    <row r="475" spans="1:16" x14ac:dyDescent="0.3">
      <c r="A475" s="1">
        <v>45748</v>
      </c>
      <c r="B475" s="2" t="s">
        <v>56</v>
      </c>
      <c r="C475" s="2" t="s">
        <v>57</v>
      </c>
      <c r="D475" s="2" t="s">
        <v>50</v>
      </c>
      <c r="E475" s="2" t="s">
        <v>47</v>
      </c>
      <c r="F475" s="2" t="s">
        <v>43</v>
      </c>
      <c r="G475" s="2" t="s">
        <v>147</v>
      </c>
      <c r="H475">
        <v>1</v>
      </c>
      <c r="I475">
        <v>3</v>
      </c>
      <c r="J475">
        <v>832.18</v>
      </c>
      <c r="K475">
        <v>0.05</v>
      </c>
      <c r="L475">
        <v>520</v>
      </c>
      <c r="M475">
        <v>2496.54</v>
      </c>
      <c r="N475">
        <v>2371.7129999999997</v>
      </c>
      <c r="O475">
        <v>1560</v>
      </c>
      <c r="P475">
        <v>811.71299999999974</v>
      </c>
    </row>
    <row r="476" spans="1:16" x14ac:dyDescent="0.3">
      <c r="A476" s="1">
        <v>45748</v>
      </c>
      <c r="B476" s="2" t="s">
        <v>39</v>
      </c>
      <c r="C476" s="2" t="s">
        <v>92</v>
      </c>
      <c r="D476" s="2" t="s">
        <v>50</v>
      </c>
      <c r="E476" s="2" t="s">
        <v>42</v>
      </c>
      <c r="F476" s="2" t="s">
        <v>48</v>
      </c>
      <c r="G476" s="2" t="s">
        <v>146</v>
      </c>
      <c r="H476">
        <v>1</v>
      </c>
      <c r="I476">
        <v>3</v>
      </c>
      <c r="J476">
        <v>69.900000000000006</v>
      </c>
      <c r="K476">
        <v>0.08</v>
      </c>
      <c r="L476">
        <v>31</v>
      </c>
      <c r="M476">
        <v>209.70000000000002</v>
      </c>
      <c r="N476">
        <v>192.92400000000004</v>
      </c>
      <c r="O476">
        <v>93</v>
      </c>
      <c r="P476">
        <v>99.924000000000035</v>
      </c>
    </row>
    <row r="477" spans="1:16" x14ac:dyDescent="0.3">
      <c r="A477" s="1">
        <v>45748</v>
      </c>
      <c r="B477" s="2" t="s">
        <v>39</v>
      </c>
      <c r="C477" s="2" t="s">
        <v>88</v>
      </c>
      <c r="D477" s="2" t="s">
        <v>41</v>
      </c>
      <c r="E477" s="2" t="s">
        <v>47</v>
      </c>
      <c r="F477" s="2" t="s">
        <v>43</v>
      </c>
      <c r="G477" s="2" t="s">
        <v>203</v>
      </c>
      <c r="H477">
        <v>1</v>
      </c>
      <c r="I477">
        <v>4</v>
      </c>
      <c r="J477">
        <v>645.75</v>
      </c>
      <c r="K477">
        <v>0.05</v>
      </c>
      <c r="L477">
        <v>395</v>
      </c>
      <c r="M477">
        <v>2583</v>
      </c>
      <c r="N477">
        <v>2453.85</v>
      </c>
      <c r="O477">
        <v>1580</v>
      </c>
      <c r="P477">
        <v>873.84999999999991</v>
      </c>
    </row>
    <row r="478" spans="1:16" x14ac:dyDescent="0.3">
      <c r="A478" s="1">
        <v>45748</v>
      </c>
      <c r="B478" s="2" t="s">
        <v>75</v>
      </c>
      <c r="C478" s="2" t="s">
        <v>106</v>
      </c>
      <c r="D478" s="2" t="s">
        <v>41</v>
      </c>
      <c r="E478" s="2" t="s">
        <v>47</v>
      </c>
      <c r="F478" s="2" t="s">
        <v>43</v>
      </c>
      <c r="G478" s="2" t="s">
        <v>132</v>
      </c>
      <c r="H478">
        <v>2</v>
      </c>
      <c r="I478">
        <v>5</v>
      </c>
      <c r="J478">
        <v>1039.2350000000001</v>
      </c>
      <c r="K478">
        <v>0</v>
      </c>
      <c r="L478">
        <v>640</v>
      </c>
      <c r="M478">
        <v>4710.46</v>
      </c>
      <c r="N478">
        <v>4710.46</v>
      </c>
      <c r="O478">
        <v>2840</v>
      </c>
      <c r="P478">
        <v>1870.4600000000003</v>
      </c>
    </row>
    <row r="479" spans="1:16" x14ac:dyDescent="0.3">
      <c r="A479" s="1">
        <v>45748</v>
      </c>
      <c r="B479" s="2" t="s">
        <v>39</v>
      </c>
      <c r="C479" s="2" t="s">
        <v>92</v>
      </c>
      <c r="D479" s="2" t="s">
        <v>50</v>
      </c>
      <c r="E479" s="2" t="s">
        <v>47</v>
      </c>
      <c r="F479" s="2" t="s">
        <v>43</v>
      </c>
      <c r="G479" s="2" t="s">
        <v>97</v>
      </c>
      <c r="H479">
        <v>1</v>
      </c>
      <c r="I479">
        <v>3</v>
      </c>
      <c r="J479">
        <v>112.05</v>
      </c>
      <c r="K479">
        <v>0.05</v>
      </c>
      <c r="L479">
        <v>54</v>
      </c>
      <c r="M479">
        <v>336.15</v>
      </c>
      <c r="N479">
        <v>319.34249999999997</v>
      </c>
      <c r="O479">
        <v>162</v>
      </c>
      <c r="P479">
        <v>157.34249999999997</v>
      </c>
    </row>
    <row r="480" spans="1:16" x14ac:dyDescent="0.3">
      <c r="A480" s="1">
        <v>45748</v>
      </c>
      <c r="B480" s="2" t="s">
        <v>39</v>
      </c>
      <c r="C480" s="2" t="s">
        <v>54</v>
      </c>
      <c r="D480" s="2" t="s">
        <v>41</v>
      </c>
      <c r="E480" s="2" t="s">
        <v>42</v>
      </c>
      <c r="F480" s="2" t="s">
        <v>48</v>
      </c>
      <c r="G480" s="2" t="s">
        <v>69</v>
      </c>
      <c r="H480">
        <v>1</v>
      </c>
      <c r="I480">
        <v>1</v>
      </c>
      <c r="J480">
        <v>96.06</v>
      </c>
      <c r="K480">
        <v>0.05</v>
      </c>
      <c r="L480">
        <v>39</v>
      </c>
      <c r="M480">
        <v>96.06</v>
      </c>
      <c r="N480">
        <v>91.257000000000005</v>
      </c>
      <c r="O480">
        <v>39</v>
      </c>
      <c r="P480">
        <v>52.257000000000005</v>
      </c>
    </row>
    <row r="481" spans="1:16" x14ac:dyDescent="0.3">
      <c r="A481" s="1">
        <v>45748</v>
      </c>
      <c r="B481" s="2" t="s">
        <v>39</v>
      </c>
      <c r="C481" s="2" t="s">
        <v>78</v>
      </c>
      <c r="D481" s="2" t="s">
        <v>41</v>
      </c>
      <c r="E481" s="2" t="s">
        <v>47</v>
      </c>
      <c r="F481" s="2" t="s">
        <v>52</v>
      </c>
      <c r="G481" s="2" t="s">
        <v>217</v>
      </c>
      <c r="H481">
        <v>2</v>
      </c>
      <c r="I481">
        <v>6</v>
      </c>
      <c r="J481">
        <v>44.265000000000001</v>
      </c>
      <c r="K481">
        <v>7.5000000000000011E-2</v>
      </c>
      <c r="L481">
        <v>18</v>
      </c>
      <c r="M481">
        <v>265.59000000000003</v>
      </c>
      <c r="N481">
        <v>245.68350000000001</v>
      </c>
      <c r="O481">
        <v>108</v>
      </c>
      <c r="P481">
        <v>137.68350000000001</v>
      </c>
    </row>
    <row r="482" spans="1:16" x14ac:dyDescent="0.3">
      <c r="A482" s="1">
        <v>45748</v>
      </c>
      <c r="B482" s="2" t="s">
        <v>39</v>
      </c>
      <c r="C482" s="2" t="s">
        <v>78</v>
      </c>
      <c r="D482" s="2" t="s">
        <v>50</v>
      </c>
      <c r="E482" s="2" t="s">
        <v>47</v>
      </c>
      <c r="F482" s="2" t="s">
        <v>48</v>
      </c>
      <c r="G482" s="2" t="s">
        <v>163</v>
      </c>
      <c r="H482">
        <v>1</v>
      </c>
      <c r="I482">
        <v>6</v>
      </c>
      <c r="J482">
        <v>24.75</v>
      </c>
      <c r="K482">
        <v>0.05</v>
      </c>
      <c r="L482">
        <v>8</v>
      </c>
      <c r="M482">
        <v>148.5</v>
      </c>
      <c r="N482">
        <v>141.07499999999999</v>
      </c>
      <c r="O482">
        <v>48</v>
      </c>
      <c r="P482">
        <v>93.074999999999989</v>
      </c>
    </row>
    <row r="483" spans="1:16" x14ac:dyDescent="0.3">
      <c r="A483" s="1">
        <v>45748</v>
      </c>
      <c r="B483" s="2" t="s">
        <v>39</v>
      </c>
      <c r="C483" s="2" t="s">
        <v>92</v>
      </c>
      <c r="D483" s="2" t="s">
        <v>50</v>
      </c>
      <c r="E483" s="2" t="s">
        <v>47</v>
      </c>
      <c r="F483" s="2" t="s">
        <v>48</v>
      </c>
      <c r="G483" s="2" t="s">
        <v>110</v>
      </c>
      <c r="H483">
        <v>1</v>
      </c>
      <c r="I483">
        <v>6</v>
      </c>
      <c r="J483">
        <v>75.2</v>
      </c>
      <c r="K483">
        <v>0.08</v>
      </c>
      <c r="L483">
        <v>31</v>
      </c>
      <c r="M483">
        <v>451.20000000000005</v>
      </c>
      <c r="N483">
        <v>415.10400000000004</v>
      </c>
      <c r="O483">
        <v>186</v>
      </c>
      <c r="P483">
        <v>229.10400000000004</v>
      </c>
    </row>
    <row r="484" spans="1:16" x14ac:dyDescent="0.3">
      <c r="A484" s="1">
        <v>45748</v>
      </c>
      <c r="B484" s="2" t="s">
        <v>39</v>
      </c>
      <c r="C484" s="2" t="s">
        <v>45</v>
      </c>
      <c r="D484" s="2" t="s">
        <v>50</v>
      </c>
      <c r="E484" s="2" t="s">
        <v>42</v>
      </c>
      <c r="F484" s="2" t="s">
        <v>48</v>
      </c>
      <c r="G484" s="2" t="s">
        <v>59</v>
      </c>
      <c r="H484">
        <v>1</v>
      </c>
      <c r="I484">
        <v>3</v>
      </c>
      <c r="J484">
        <v>96.44</v>
      </c>
      <c r="K484">
        <v>0.12</v>
      </c>
      <c r="L484">
        <v>39</v>
      </c>
      <c r="M484">
        <v>289.32</v>
      </c>
      <c r="N484">
        <v>254.60159999999999</v>
      </c>
      <c r="O484">
        <v>117</v>
      </c>
      <c r="P484">
        <v>137.60159999999999</v>
      </c>
    </row>
    <row r="485" spans="1:16" x14ac:dyDescent="0.3">
      <c r="A485" s="1">
        <v>45748</v>
      </c>
      <c r="B485" s="2" t="s">
        <v>39</v>
      </c>
      <c r="C485" s="2" t="s">
        <v>45</v>
      </c>
      <c r="D485" s="2" t="s">
        <v>50</v>
      </c>
      <c r="E485" s="2" t="s">
        <v>42</v>
      </c>
      <c r="F485" s="2" t="s">
        <v>43</v>
      </c>
      <c r="G485" s="2" t="s">
        <v>59</v>
      </c>
      <c r="H485">
        <v>1</v>
      </c>
      <c r="I485">
        <v>1</v>
      </c>
      <c r="J485">
        <v>108.82</v>
      </c>
      <c r="K485">
        <v>0.08</v>
      </c>
      <c r="L485">
        <v>54</v>
      </c>
      <c r="M485">
        <v>108.82</v>
      </c>
      <c r="N485">
        <v>100.1144</v>
      </c>
      <c r="O485">
        <v>54</v>
      </c>
      <c r="P485">
        <v>46.114400000000003</v>
      </c>
    </row>
    <row r="486" spans="1:16" x14ac:dyDescent="0.3">
      <c r="A486" s="1">
        <v>45748</v>
      </c>
      <c r="B486" s="2" t="s">
        <v>65</v>
      </c>
      <c r="C486" s="2" t="s">
        <v>134</v>
      </c>
      <c r="D486" s="2" t="s">
        <v>41</v>
      </c>
      <c r="E486" s="2" t="s">
        <v>51</v>
      </c>
      <c r="F486" s="2" t="s">
        <v>43</v>
      </c>
      <c r="G486" s="2" t="s">
        <v>218</v>
      </c>
      <c r="H486">
        <v>2</v>
      </c>
      <c r="I486">
        <v>17</v>
      </c>
      <c r="J486">
        <v>185.005</v>
      </c>
      <c r="K486">
        <v>0</v>
      </c>
      <c r="L486">
        <v>118</v>
      </c>
      <c r="M486">
        <v>3398.87</v>
      </c>
      <c r="N486">
        <v>3398.87</v>
      </c>
      <c r="O486">
        <v>2198</v>
      </c>
      <c r="P486">
        <v>1200.8699999999999</v>
      </c>
    </row>
    <row r="487" spans="1:16" x14ac:dyDescent="0.3">
      <c r="A487" s="1">
        <v>45748</v>
      </c>
      <c r="B487" s="2" t="s">
        <v>75</v>
      </c>
      <c r="C487" s="2" t="s">
        <v>106</v>
      </c>
      <c r="D487" s="2" t="s">
        <v>41</v>
      </c>
      <c r="E487" s="2" t="s">
        <v>42</v>
      </c>
      <c r="F487" s="2" t="s">
        <v>43</v>
      </c>
      <c r="G487" s="2" t="s">
        <v>132</v>
      </c>
      <c r="H487">
        <v>2</v>
      </c>
      <c r="I487">
        <v>2</v>
      </c>
      <c r="J487">
        <v>201.68</v>
      </c>
      <c r="K487">
        <v>2.5000000000000001E-2</v>
      </c>
      <c r="L487">
        <v>118</v>
      </c>
      <c r="M487">
        <v>403.36</v>
      </c>
      <c r="N487">
        <v>388.55650000000003</v>
      </c>
      <c r="O487">
        <v>236</v>
      </c>
      <c r="P487">
        <v>152.55650000000003</v>
      </c>
    </row>
    <row r="488" spans="1:16" x14ac:dyDescent="0.3">
      <c r="A488" s="1">
        <v>45748</v>
      </c>
      <c r="B488" s="2" t="s">
        <v>39</v>
      </c>
      <c r="C488" s="2" t="s">
        <v>40</v>
      </c>
      <c r="D488" s="2" t="s">
        <v>46</v>
      </c>
      <c r="E488" s="2" t="s">
        <v>42</v>
      </c>
      <c r="F488" s="2" t="s">
        <v>48</v>
      </c>
      <c r="G488" s="2" t="s">
        <v>118</v>
      </c>
      <c r="H488">
        <v>1</v>
      </c>
      <c r="I488">
        <v>2</v>
      </c>
      <c r="J488">
        <v>93.94</v>
      </c>
      <c r="K488">
        <v>0.15</v>
      </c>
      <c r="L488">
        <v>39</v>
      </c>
      <c r="M488">
        <v>187.88</v>
      </c>
      <c r="N488">
        <v>159.69799999999998</v>
      </c>
      <c r="O488">
        <v>78</v>
      </c>
      <c r="P488">
        <v>81.697999999999979</v>
      </c>
    </row>
    <row r="489" spans="1:16" x14ac:dyDescent="0.3">
      <c r="A489" s="1">
        <v>45748</v>
      </c>
      <c r="B489" s="2" t="s">
        <v>39</v>
      </c>
      <c r="C489" s="2" t="s">
        <v>40</v>
      </c>
      <c r="D489" s="2" t="s">
        <v>46</v>
      </c>
      <c r="E489" s="2" t="s">
        <v>42</v>
      </c>
      <c r="F489" s="2" t="s">
        <v>43</v>
      </c>
      <c r="G489" s="2" t="s">
        <v>118</v>
      </c>
      <c r="H489">
        <v>2</v>
      </c>
      <c r="I489">
        <v>4</v>
      </c>
      <c r="J489">
        <v>476.68499999999995</v>
      </c>
      <c r="K489">
        <v>7.5000000000000011E-2</v>
      </c>
      <c r="L489">
        <v>287</v>
      </c>
      <c r="M489">
        <v>1168.57</v>
      </c>
      <c r="N489">
        <v>1067.8530000000001</v>
      </c>
      <c r="O489">
        <v>682</v>
      </c>
      <c r="P489">
        <v>385.85299999999995</v>
      </c>
    </row>
    <row r="490" spans="1:16" x14ac:dyDescent="0.3">
      <c r="A490" s="1">
        <v>45748</v>
      </c>
      <c r="B490" s="2" t="s">
        <v>39</v>
      </c>
      <c r="C490" s="2" t="s">
        <v>92</v>
      </c>
      <c r="D490" s="2" t="s">
        <v>50</v>
      </c>
      <c r="E490" s="2" t="s">
        <v>47</v>
      </c>
      <c r="F490" s="2" t="s">
        <v>43</v>
      </c>
      <c r="G490" s="2" t="s">
        <v>109</v>
      </c>
      <c r="H490">
        <v>1</v>
      </c>
      <c r="I490">
        <v>4</v>
      </c>
      <c r="J490">
        <v>851.16</v>
      </c>
      <c r="K490">
        <v>0.1</v>
      </c>
      <c r="L490">
        <v>520</v>
      </c>
      <c r="M490">
        <v>3404.64</v>
      </c>
      <c r="N490">
        <v>3064.1759999999999</v>
      </c>
      <c r="O490">
        <v>2080</v>
      </c>
      <c r="P490">
        <v>984.17599999999993</v>
      </c>
    </row>
    <row r="491" spans="1:16" x14ac:dyDescent="0.3">
      <c r="A491" s="1">
        <v>45748</v>
      </c>
      <c r="B491" s="2" t="s">
        <v>39</v>
      </c>
      <c r="C491" s="2" t="s">
        <v>92</v>
      </c>
      <c r="D491" s="2" t="s">
        <v>50</v>
      </c>
      <c r="E491" s="2" t="s">
        <v>47</v>
      </c>
      <c r="F491" s="2" t="s">
        <v>48</v>
      </c>
      <c r="G491" s="2" t="s">
        <v>109</v>
      </c>
      <c r="H491">
        <v>1</v>
      </c>
      <c r="I491">
        <v>5</v>
      </c>
      <c r="J491">
        <v>96.94</v>
      </c>
      <c r="K491">
        <v>0.1</v>
      </c>
      <c r="L491">
        <v>39</v>
      </c>
      <c r="M491">
        <v>484.7</v>
      </c>
      <c r="N491">
        <v>436.23</v>
      </c>
      <c r="O491">
        <v>195</v>
      </c>
      <c r="P491">
        <v>241.23000000000002</v>
      </c>
    </row>
    <row r="492" spans="1:16" x14ac:dyDescent="0.3">
      <c r="A492" s="1">
        <v>45748</v>
      </c>
      <c r="B492" s="2" t="s">
        <v>65</v>
      </c>
      <c r="C492" s="2" t="s">
        <v>66</v>
      </c>
      <c r="D492" s="2" t="s">
        <v>50</v>
      </c>
      <c r="E492" s="2" t="s">
        <v>47</v>
      </c>
      <c r="F492" s="2" t="s">
        <v>43</v>
      </c>
      <c r="G492" s="2" t="s">
        <v>195</v>
      </c>
      <c r="H492">
        <v>1</v>
      </c>
      <c r="I492">
        <v>1</v>
      </c>
      <c r="J492">
        <v>634.09</v>
      </c>
      <c r="K492">
        <v>0.1</v>
      </c>
      <c r="L492">
        <v>395</v>
      </c>
      <c r="M492">
        <v>634.09</v>
      </c>
      <c r="N492">
        <v>570.68100000000004</v>
      </c>
      <c r="O492">
        <v>395</v>
      </c>
      <c r="P492">
        <v>175.68100000000004</v>
      </c>
    </row>
    <row r="493" spans="1:16" x14ac:dyDescent="0.3">
      <c r="A493" s="1">
        <v>45748</v>
      </c>
      <c r="B493" s="2" t="s">
        <v>39</v>
      </c>
      <c r="C493" s="2" t="s">
        <v>40</v>
      </c>
      <c r="D493" s="2" t="s">
        <v>50</v>
      </c>
      <c r="E493" s="2" t="s">
        <v>47</v>
      </c>
      <c r="F493" s="2" t="s">
        <v>52</v>
      </c>
      <c r="G493" s="2" t="s">
        <v>145</v>
      </c>
      <c r="H493">
        <v>1</v>
      </c>
      <c r="I493">
        <v>4</v>
      </c>
      <c r="J493">
        <v>222.68</v>
      </c>
      <c r="K493">
        <v>0.12</v>
      </c>
      <c r="L493">
        <v>124</v>
      </c>
      <c r="M493">
        <v>890.72</v>
      </c>
      <c r="N493">
        <v>783.83360000000005</v>
      </c>
      <c r="O493">
        <v>496</v>
      </c>
      <c r="P493">
        <v>287.83360000000005</v>
      </c>
    </row>
    <row r="494" spans="1:16" x14ac:dyDescent="0.3">
      <c r="A494" s="1">
        <v>45748</v>
      </c>
      <c r="B494" s="2" t="s">
        <v>39</v>
      </c>
      <c r="C494" s="2" t="s">
        <v>78</v>
      </c>
      <c r="D494" s="2" t="s">
        <v>41</v>
      </c>
      <c r="E494" s="2" t="s">
        <v>42</v>
      </c>
      <c r="F494" s="2" t="s">
        <v>43</v>
      </c>
      <c r="G494" s="2" t="s">
        <v>119</v>
      </c>
      <c r="H494">
        <v>2</v>
      </c>
      <c r="I494">
        <v>4</v>
      </c>
      <c r="J494">
        <v>566.17000000000007</v>
      </c>
      <c r="K494">
        <v>0</v>
      </c>
      <c r="L494">
        <v>351</v>
      </c>
      <c r="M494">
        <v>2805.68</v>
      </c>
      <c r="N494">
        <v>2805.68</v>
      </c>
      <c r="O494">
        <v>1742</v>
      </c>
      <c r="P494">
        <v>1063.6799999999998</v>
      </c>
    </row>
    <row r="495" spans="1:16" x14ac:dyDescent="0.3">
      <c r="A495" s="1">
        <v>45748</v>
      </c>
      <c r="B495" s="2" t="s">
        <v>39</v>
      </c>
      <c r="C495" s="2" t="s">
        <v>40</v>
      </c>
      <c r="D495" s="2" t="s">
        <v>50</v>
      </c>
      <c r="E495" s="2" t="s">
        <v>47</v>
      </c>
      <c r="F495" s="2" t="s">
        <v>43</v>
      </c>
      <c r="G495" s="2" t="s">
        <v>114</v>
      </c>
      <c r="H495">
        <v>2</v>
      </c>
      <c r="I495">
        <v>4</v>
      </c>
      <c r="J495">
        <v>527.79</v>
      </c>
      <c r="K495">
        <v>6.5000000000000002E-2</v>
      </c>
      <c r="L495">
        <v>303</v>
      </c>
      <c r="M495">
        <v>1426.3400000000001</v>
      </c>
      <c r="N495">
        <v>1328.9169999999999</v>
      </c>
      <c r="O495">
        <v>778</v>
      </c>
      <c r="P495">
        <v>550.91700000000003</v>
      </c>
    </row>
    <row r="496" spans="1:16" x14ac:dyDescent="0.3">
      <c r="A496" s="1">
        <v>45748</v>
      </c>
      <c r="B496" s="2" t="s">
        <v>39</v>
      </c>
      <c r="C496" s="2" t="s">
        <v>92</v>
      </c>
      <c r="D496" s="2" t="s">
        <v>46</v>
      </c>
      <c r="E496" s="2" t="s">
        <v>42</v>
      </c>
      <c r="F496" s="2" t="s">
        <v>43</v>
      </c>
      <c r="G496" s="2" t="s">
        <v>154</v>
      </c>
      <c r="H496">
        <v>1</v>
      </c>
      <c r="I496">
        <v>1</v>
      </c>
      <c r="J496">
        <v>607.98</v>
      </c>
      <c r="K496">
        <v>0.08</v>
      </c>
      <c r="L496">
        <v>395</v>
      </c>
      <c r="M496">
        <v>607.98</v>
      </c>
      <c r="N496">
        <v>559.34160000000008</v>
      </c>
      <c r="O496">
        <v>395</v>
      </c>
      <c r="P496">
        <v>164.34160000000008</v>
      </c>
    </row>
    <row r="497" spans="1:16" x14ac:dyDescent="0.3">
      <c r="A497" s="1">
        <v>45748</v>
      </c>
      <c r="B497" s="2" t="s">
        <v>39</v>
      </c>
      <c r="C497" s="2" t="s">
        <v>54</v>
      </c>
      <c r="D497" s="2" t="s">
        <v>41</v>
      </c>
      <c r="E497" s="2" t="s">
        <v>47</v>
      </c>
      <c r="F497" s="2" t="s">
        <v>43</v>
      </c>
      <c r="G497" s="2" t="s">
        <v>69</v>
      </c>
      <c r="H497">
        <v>2</v>
      </c>
      <c r="I497">
        <v>6</v>
      </c>
      <c r="J497">
        <v>841.82</v>
      </c>
      <c r="K497">
        <v>0</v>
      </c>
      <c r="L497">
        <v>520</v>
      </c>
      <c r="M497">
        <v>5050.92</v>
      </c>
      <c r="N497">
        <v>5050.92</v>
      </c>
      <c r="O497">
        <v>3120</v>
      </c>
      <c r="P497">
        <v>1930.92</v>
      </c>
    </row>
    <row r="498" spans="1:16" x14ac:dyDescent="0.3">
      <c r="A498" s="1">
        <v>45748</v>
      </c>
      <c r="B498" s="2" t="s">
        <v>39</v>
      </c>
      <c r="C498" s="2" t="s">
        <v>88</v>
      </c>
      <c r="D498" s="2" t="s">
        <v>46</v>
      </c>
      <c r="E498" s="2" t="s">
        <v>47</v>
      </c>
      <c r="F498" s="2" t="s">
        <v>48</v>
      </c>
      <c r="G498" s="2" t="s">
        <v>154</v>
      </c>
      <c r="H498">
        <v>1</v>
      </c>
      <c r="I498">
        <v>2</v>
      </c>
      <c r="J498">
        <v>24.83</v>
      </c>
      <c r="K498">
        <v>0.08</v>
      </c>
      <c r="L498">
        <v>8</v>
      </c>
      <c r="M498">
        <v>49.66</v>
      </c>
      <c r="N498">
        <v>45.687199999999997</v>
      </c>
      <c r="O498">
        <v>16</v>
      </c>
      <c r="P498">
        <v>29.687199999999997</v>
      </c>
    </row>
    <row r="499" spans="1:16" x14ac:dyDescent="0.3">
      <c r="A499" s="1">
        <v>45992</v>
      </c>
      <c r="B499" s="2" t="s">
        <v>65</v>
      </c>
      <c r="C499" s="2" t="s">
        <v>66</v>
      </c>
      <c r="D499" s="2" t="s">
        <v>50</v>
      </c>
      <c r="E499" s="2" t="s">
        <v>47</v>
      </c>
      <c r="F499" s="2" t="s">
        <v>43</v>
      </c>
      <c r="G499" s="2" t="s">
        <v>103</v>
      </c>
      <c r="H499">
        <v>1</v>
      </c>
      <c r="I499">
        <v>3</v>
      </c>
      <c r="J499">
        <v>632.86</v>
      </c>
      <c r="K499">
        <v>0.1</v>
      </c>
      <c r="L499">
        <v>395</v>
      </c>
      <c r="M499">
        <v>1898.58</v>
      </c>
      <c r="N499">
        <v>1708.722</v>
      </c>
      <c r="O499">
        <v>1185</v>
      </c>
      <c r="P499">
        <v>523.72199999999998</v>
      </c>
    </row>
    <row r="500" spans="1:16" x14ac:dyDescent="0.3">
      <c r="A500" s="1">
        <v>45748</v>
      </c>
      <c r="B500" s="2" t="s">
        <v>39</v>
      </c>
      <c r="C500" s="2" t="s">
        <v>152</v>
      </c>
      <c r="D500" s="2" t="s">
        <v>41</v>
      </c>
      <c r="E500" s="2" t="s">
        <v>42</v>
      </c>
      <c r="F500" s="2" t="s">
        <v>43</v>
      </c>
      <c r="G500" s="2" t="s">
        <v>153</v>
      </c>
      <c r="H500">
        <v>1</v>
      </c>
      <c r="I500">
        <v>1</v>
      </c>
      <c r="J500">
        <v>595.74</v>
      </c>
      <c r="K500">
        <v>0.1</v>
      </c>
      <c r="L500">
        <v>395</v>
      </c>
      <c r="M500">
        <v>595.74</v>
      </c>
      <c r="N500">
        <v>536.16600000000005</v>
      </c>
      <c r="O500">
        <v>395</v>
      </c>
      <c r="P500">
        <v>141.16600000000005</v>
      </c>
    </row>
    <row r="501" spans="1:16" x14ac:dyDescent="0.3">
      <c r="A501" s="1">
        <v>45748</v>
      </c>
      <c r="B501" s="2" t="s">
        <v>65</v>
      </c>
      <c r="C501" s="2" t="s">
        <v>134</v>
      </c>
      <c r="D501" s="2" t="s">
        <v>41</v>
      </c>
      <c r="E501" s="2" t="s">
        <v>51</v>
      </c>
      <c r="F501" s="2" t="s">
        <v>48</v>
      </c>
      <c r="G501" s="2" t="s">
        <v>218</v>
      </c>
      <c r="H501">
        <v>1</v>
      </c>
      <c r="I501">
        <v>9</v>
      </c>
      <c r="J501">
        <v>121.47</v>
      </c>
      <c r="K501">
        <v>0</v>
      </c>
      <c r="L501">
        <v>63</v>
      </c>
      <c r="M501">
        <v>1093.23</v>
      </c>
      <c r="N501">
        <v>1093.23</v>
      </c>
      <c r="O501">
        <v>567</v>
      </c>
      <c r="P501">
        <v>526.23</v>
      </c>
    </row>
    <row r="502" spans="1:16" x14ac:dyDescent="0.3">
      <c r="A502" s="1">
        <v>45748</v>
      </c>
      <c r="B502" s="2" t="s">
        <v>83</v>
      </c>
      <c r="C502" s="2" t="s">
        <v>84</v>
      </c>
      <c r="D502" s="2" t="s">
        <v>50</v>
      </c>
      <c r="E502" s="2" t="s">
        <v>42</v>
      </c>
      <c r="F502" s="2" t="s">
        <v>43</v>
      </c>
      <c r="G502" s="2" t="s">
        <v>85</v>
      </c>
      <c r="H502">
        <v>2</v>
      </c>
      <c r="I502">
        <v>4</v>
      </c>
      <c r="J502">
        <v>387.16499999999996</v>
      </c>
      <c r="K502">
        <v>0.11</v>
      </c>
      <c r="L502">
        <v>240.5</v>
      </c>
      <c r="M502">
        <v>1548.6599999999999</v>
      </c>
      <c r="N502">
        <v>1370.0228000000002</v>
      </c>
      <c r="O502">
        <v>962</v>
      </c>
      <c r="P502">
        <v>408.02280000000007</v>
      </c>
    </row>
    <row r="503" spans="1:16" x14ac:dyDescent="0.3">
      <c r="A503" s="1">
        <v>45748</v>
      </c>
      <c r="B503" s="2" t="s">
        <v>39</v>
      </c>
      <c r="C503" s="2" t="s">
        <v>45</v>
      </c>
      <c r="D503" s="2" t="s">
        <v>50</v>
      </c>
      <c r="E503" s="2" t="s">
        <v>42</v>
      </c>
      <c r="F503" s="2" t="s">
        <v>48</v>
      </c>
      <c r="G503" s="2" t="s">
        <v>209</v>
      </c>
      <c r="H503">
        <v>1</v>
      </c>
      <c r="I503">
        <v>1</v>
      </c>
      <c r="J503">
        <v>90.17</v>
      </c>
      <c r="K503">
        <v>0.12</v>
      </c>
      <c r="L503">
        <v>39</v>
      </c>
      <c r="M503">
        <v>90.17</v>
      </c>
      <c r="N503">
        <v>79.349599999999995</v>
      </c>
      <c r="O503">
        <v>39</v>
      </c>
      <c r="P503">
        <v>40.349599999999995</v>
      </c>
    </row>
    <row r="504" spans="1:16" x14ac:dyDescent="0.3">
      <c r="A504" s="1">
        <v>45748</v>
      </c>
      <c r="B504" s="2" t="s">
        <v>39</v>
      </c>
      <c r="C504" s="2" t="s">
        <v>45</v>
      </c>
      <c r="D504" s="2" t="s">
        <v>46</v>
      </c>
      <c r="E504" s="2" t="s">
        <v>42</v>
      </c>
      <c r="F504" s="2" t="s">
        <v>43</v>
      </c>
      <c r="G504" s="2" t="s">
        <v>90</v>
      </c>
      <c r="H504">
        <v>2</v>
      </c>
      <c r="I504">
        <v>5</v>
      </c>
      <c r="J504">
        <v>662.61</v>
      </c>
      <c r="K504">
        <v>0.1</v>
      </c>
      <c r="L504">
        <v>423</v>
      </c>
      <c r="M504">
        <v>3797.13</v>
      </c>
      <c r="N504">
        <v>3479.0772000000006</v>
      </c>
      <c r="O504">
        <v>2452</v>
      </c>
      <c r="P504">
        <v>1027.0772000000004</v>
      </c>
    </row>
    <row r="505" spans="1:16" x14ac:dyDescent="0.3">
      <c r="A505" s="1">
        <v>45748</v>
      </c>
      <c r="B505" s="2" t="s">
        <v>39</v>
      </c>
      <c r="C505" s="2" t="s">
        <v>88</v>
      </c>
      <c r="D505" s="2" t="s">
        <v>46</v>
      </c>
      <c r="E505" s="2" t="s">
        <v>42</v>
      </c>
      <c r="F505" s="2" t="s">
        <v>52</v>
      </c>
      <c r="G505" s="2" t="s">
        <v>105</v>
      </c>
      <c r="H505">
        <v>1</v>
      </c>
      <c r="I505">
        <v>2</v>
      </c>
      <c r="J505">
        <v>43.49</v>
      </c>
      <c r="K505">
        <v>0.15</v>
      </c>
      <c r="L505">
        <v>18</v>
      </c>
      <c r="M505">
        <v>86.98</v>
      </c>
      <c r="N505">
        <v>73.933000000000007</v>
      </c>
      <c r="O505">
        <v>36</v>
      </c>
      <c r="P505">
        <v>37.933000000000007</v>
      </c>
    </row>
    <row r="506" spans="1:16" x14ac:dyDescent="0.3">
      <c r="A506" s="1">
        <v>45748</v>
      </c>
      <c r="B506" s="2" t="s">
        <v>39</v>
      </c>
      <c r="C506" s="2" t="s">
        <v>88</v>
      </c>
      <c r="D506" s="2" t="s">
        <v>46</v>
      </c>
      <c r="E506" s="2" t="s">
        <v>42</v>
      </c>
      <c r="F506" s="2" t="s">
        <v>43</v>
      </c>
      <c r="G506" s="2" t="s">
        <v>105</v>
      </c>
      <c r="H506">
        <v>1</v>
      </c>
      <c r="I506">
        <v>2</v>
      </c>
      <c r="J506">
        <v>599.98</v>
      </c>
      <c r="K506">
        <v>0.1</v>
      </c>
      <c r="L506">
        <v>395</v>
      </c>
      <c r="M506">
        <v>1199.96</v>
      </c>
      <c r="N506">
        <v>1079.9640000000002</v>
      </c>
      <c r="O506">
        <v>790</v>
      </c>
      <c r="P506">
        <v>289.96400000000017</v>
      </c>
    </row>
    <row r="507" spans="1:16" x14ac:dyDescent="0.3">
      <c r="A507" s="1">
        <v>45748</v>
      </c>
      <c r="B507" s="2" t="s">
        <v>83</v>
      </c>
      <c r="C507" s="2" t="s">
        <v>84</v>
      </c>
      <c r="D507" s="2" t="s">
        <v>46</v>
      </c>
      <c r="E507" s="2" t="s">
        <v>47</v>
      </c>
      <c r="F507" s="2" t="s">
        <v>43</v>
      </c>
      <c r="G507" s="2" t="s">
        <v>191</v>
      </c>
      <c r="H507">
        <v>3</v>
      </c>
      <c r="I507">
        <v>9</v>
      </c>
      <c r="J507">
        <v>478.7399999999999</v>
      </c>
      <c r="K507">
        <v>7.6666666666666675E-2</v>
      </c>
      <c r="L507">
        <v>289.33333333333331</v>
      </c>
      <c r="M507">
        <v>5416.7699999999995</v>
      </c>
      <c r="N507">
        <v>4898.9304000000002</v>
      </c>
      <c r="O507">
        <v>3310</v>
      </c>
      <c r="P507">
        <v>1588.9304</v>
      </c>
    </row>
    <row r="508" spans="1:16" x14ac:dyDescent="0.3">
      <c r="A508" s="1">
        <v>45748</v>
      </c>
      <c r="B508" s="2" t="s">
        <v>39</v>
      </c>
      <c r="C508" s="2" t="s">
        <v>88</v>
      </c>
      <c r="D508" s="2" t="s">
        <v>50</v>
      </c>
      <c r="E508" s="2" t="s">
        <v>42</v>
      </c>
      <c r="F508" s="2" t="s">
        <v>52</v>
      </c>
      <c r="G508" s="2" t="s">
        <v>140</v>
      </c>
      <c r="H508">
        <v>1</v>
      </c>
      <c r="I508">
        <v>3</v>
      </c>
      <c r="J508">
        <v>214.13</v>
      </c>
      <c r="K508">
        <v>0.08</v>
      </c>
      <c r="L508">
        <v>124</v>
      </c>
      <c r="M508">
        <v>642.39</v>
      </c>
      <c r="N508">
        <v>590.99879999999996</v>
      </c>
      <c r="O508">
        <v>372</v>
      </c>
      <c r="P508">
        <v>218.99879999999996</v>
      </c>
    </row>
    <row r="509" spans="1:16" x14ac:dyDescent="0.3">
      <c r="A509" s="1">
        <v>45748</v>
      </c>
      <c r="B509" s="2" t="s">
        <v>39</v>
      </c>
      <c r="C509" s="2" t="s">
        <v>88</v>
      </c>
      <c r="D509" s="2" t="s">
        <v>50</v>
      </c>
      <c r="E509" s="2" t="s">
        <v>42</v>
      </c>
      <c r="F509" s="2" t="s">
        <v>48</v>
      </c>
      <c r="G509" s="2" t="s">
        <v>140</v>
      </c>
      <c r="H509">
        <v>1</v>
      </c>
      <c r="I509">
        <v>1</v>
      </c>
      <c r="J509">
        <v>96.46</v>
      </c>
      <c r="K509">
        <v>0</v>
      </c>
      <c r="L509">
        <v>39</v>
      </c>
      <c r="M509">
        <v>96.46</v>
      </c>
      <c r="N509">
        <v>96.46</v>
      </c>
      <c r="O509">
        <v>39</v>
      </c>
      <c r="P509">
        <v>57.459999999999994</v>
      </c>
    </row>
    <row r="510" spans="1:16" x14ac:dyDescent="0.3">
      <c r="A510" s="1">
        <v>45748</v>
      </c>
      <c r="B510" s="2" t="s">
        <v>39</v>
      </c>
      <c r="C510" s="2" t="s">
        <v>40</v>
      </c>
      <c r="D510" s="2" t="s">
        <v>46</v>
      </c>
      <c r="E510" s="2" t="s">
        <v>47</v>
      </c>
      <c r="F510" s="2" t="s">
        <v>52</v>
      </c>
      <c r="G510" s="2" t="s">
        <v>82</v>
      </c>
      <c r="H510">
        <v>1</v>
      </c>
      <c r="I510">
        <v>3</v>
      </c>
      <c r="J510">
        <v>44.07</v>
      </c>
      <c r="K510">
        <v>0.05</v>
      </c>
      <c r="L510">
        <v>18</v>
      </c>
      <c r="M510">
        <v>132.21</v>
      </c>
      <c r="N510">
        <v>125.59950000000001</v>
      </c>
      <c r="O510">
        <v>54</v>
      </c>
      <c r="P510">
        <v>71.599500000000006</v>
      </c>
    </row>
    <row r="511" spans="1:16" x14ac:dyDescent="0.3">
      <c r="A511" s="1">
        <v>45748</v>
      </c>
      <c r="B511" s="2" t="s">
        <v>56</v>
      </c>
      <c r="C511" s="2" t="s">
        <v>62</v>
      </c>
      <c r="D511" s="2" t="s">
        <v>41</v>
      </c>
      <c r="E511" s="2" t="s">
        <v>42</v>
      </c>
      <c r="F511" s="2" t="s">
        <v>43</v>
      </c>
      <c r="G511" s="2" t="s">
        <v>143</v>
      </c>
      <c r="H511">
        <v>2</v>
      </c>
      <c r="I511">
        <v>4</v>
      </c>
      <c r="J511">
        <v>997.495</v>
      </c>
      <c r="K511">
        <v>0</v>
      </c>
      <c r="L511">
        <v>640</v>
      </c>
      <c r="M511">
        <v>3614.55</v>
      </c>
      <c r="N511">
        <v>3614.55</v>
      </c>
      <c r="O511">
        <v>2320</v>
      </c>
      <c r="P511">
        <v>1294.5500000000002</v>
      </c>
    </row>
    <row r="512" spans="1:16" x14ac:dyDescent="0.3">
      <c r="A512" s="1">
        <v>45748</v>
      </c>
      <c r="B512" s="2" t="s">
        <v>56</v>
      </c>
      <c r="C512" s="2" t="s">
        <v>57</v>
      </c>
      <c r="D512" s="2" t="s">
        <v>46</v>
      </c>
      <c r="E512" s="2" t="s">
        <v>51</v>
      </c>
      <c r="F512" s="2" t="s">
        <v>52</v>
      </c>
      <c r="G512" s="2" t="s">
        <v>219</v>
      </c>
      <c r="H512">
        <v>1</v>
      </c>
      <c r="I512">
        <v>9</v>
      </c>
      <c r="J512">
        <v>199.49</v>
      </c>
      <c r="K512">
        <v>0.1</v>
      </c>
      <c r="L512">
        <v>124</v>
      </c>
      <c r="M512">
        <v>1795.41</v>
      </c>
      <c r="N512">
        <v>1615.8690000000001</v>
      </c>
      <c r="O512">
        <v>1116</v>
      </c>
      <c r="P512">
        <v>499.86900000000014</v>
      </c>
    </row>
    <row r="513" spans="1:16" x14ac:dyDescent="0.3">
      <c r="A513" s="1">
        <v>45748</v>
      </c>
      <c r="B513" s="2" t="s">
        <v>56</v>
      </c>
      <c r="C513" s="2" t="s">
        <v>57</v>
      </c>
      <c r="D513" s="2" t="s">
        <v>46</v>
      </c>
      <c r="E513" s="2" t="s">
        <v>51</v>
      </c>
      <c r="F513" s="2" t="s">
        <v>43</v>
      </c>
      <c r="G513" s="2" t="s">
        <v>219</v>
      </c>
      <c r="H513">
        <v>1</v>
      </c>
      <c r="I513">
        <v>4</v>
      </c>
      <c r="J513">
        <v>543.16</v>
      </c>
      <c r="K513">
        <v>0.05</v>
      </c>
      <c r="L513">
        <v>395</v>
      </c>
      <c r="M513">
        <v>2172.64</v>
      </c>
      <c r="N513">
        <v>2064.0079999999998</v>
      </c>
      <c r="O513">
        <v>1580</v>
      </c>
      <c r="P513">
        <v>484.00799999999981</v>
      </c>
    </row>
    <row r="514" spans="1:16" x14ac:dyDescent="0.3">
      <c r="A514" s="1">
        <v>45748</v>
      </c>
      <c r="B514" s="2" t="s">
        <v>56</v>
      </c>
      <c r="C514" s="2" t="s">
        <v>57</v>
      </c>
      <c r="D514" s="2" t="s">
        <v>46</v>
      </c>
      <c r="E514" s="2" t="s">
        <v>51</v>
      </c>
      <c r="F514" s="2" t="s">
        <v>48</v>
      </c>
      <c r="G514" s="2" t="s">
        <v>219</v>
      </c>
      <c r="H514">
        <v>1</v>
      </c>
      <c r="I514">
        <v>6</v>
      </c>
      <c r="J514">
        <v>84.75</v>
      </c>
      <c r="K514">
        <v>0.08</v>
      </c>
      <c r="L514">
        <v>39</v>
      </c>
      <c r="M514">
        <v>508.5</v>
      </c>
      <c r="N514">
        <v>467.82</v>
      </c>
      <c r="O514">
        <v>234</v>
      </c>
      <c r="P514">
        <v>233.82</v>
      </c>
    </row>
    <row r="515" spans="1:16" x14ac:dyDescent="0.3">
      <c r="A515" s="1">
        <v>45748</v>
      </c>
      <c r="B515" s="2" t="s">
        <v>56</v>
      </c>
      <c r="C515" s="2" t="s">
        <v>62</v>
      </c>
      <c r="D515" s="2" t="s">
        <v>41</v>
      </c>
      <c r="E515" s="2" t="s">
        <v>42</v>
      </c>
      <c r="F515" s="2" t="s">
        <v>43</v>
      </c>
      <c r="G515" s="2" t="s">
        <v>142</v>
      </c>
      <c r="H515">
        <v>1</v>
      </c>
      <c r="I515">
        <v>1</v>
      </c>
      <c r="J515">
        <v>172.96</v>
      </c>
      <c r="K515">
        <v>0</v>
      </c>
      <c r="L515">
        <v>86</v>
      </c>
      <c r="M515">
        <v>172.96</v>
      </c>
      <c r="N515">
        <v>172.96</v>
      </c>
      <c r="O515">
        <v>86</v>
      </c>
      <c r="P515">
        <v>86.960000000000008</v>
      </c>
    </row>
    <row r="516" spans="1:16" x14ac:dyDescent="0.3">
      <c r="A516" s="1">
        <v>45748</v>
      </c>
      <c r="B516" s="2" t="s">
        <v>83</v>
      </c>
      <c r="C516" s="2" t="s">
        <v>84</v>
      </c>
      <c r="D516" s="2" t="s">
        <v>50</v>
      </c>
      <c r="E516" s="2" t="s">
        <v>42</v>
      </c>
      <c r="F516" s="2" t="s">
        <v>43</v>
      </c>
      <c r="G516" s="2" t="s">
        <v>91</v>
      </c>
      <c r="H516">
        <v>1</v>
      </c>
      <c r="I516">
        <v>3</v>
      </c>
      <c r="J516">
        <v>171.43</v>
      </c>
      <c r="K516">
        <v>0.08</v>
      </c>
      <c r="L516">
        <v>86</v>
      </c>
      <c r="M516">
        <v>514.29</v>
      </c>
      <c r="N516">
        <v>473.14679999999998</v>
      </c>
      <c r="O516">
        <v>258</v>
      </c>
      <c r="P516">
        <v>215.14679999999998</v>
      </c>
    </row>
    <row r="517" spans="1:16" x14ac:dyDescent="0.3">
      <c r="A517" s="1">
        <v>45748</v>
      </c>
      <c r="B517" s="2" t="s">
        <v>39</v>
      </c>
      <c r="C517" s="2" t="s">
        <v>78</v>
      </c>
      <c r="D517" s="2" t="s">
        <v>50</v>
      </c>
      <c r="E517" s="2" t="s">
        <v>51</v>
      </c>
      <c r="F517" s="2" t="s">
        <v>48</v>
      </c>
      <c r="G517" s="2" t="s">
        <v>163</v>
      </c>
      <c r="H517">
        <v>1</v>
      </c>
      <c r="I517">
        <v>8</v>
      </c>
      <c r="J517">
        <v>20.67</v>
      </c>
      <c r="K517">
        <v>0.1</v>
      </c>
      <c r="L517">
        <v>8</v>
      </c>
      <c r="M517">
        <v>165.36</v>
      </c>
      <c r="N517">
        <v>148.82400000000001</v>
      </c>
      <c r="O517">
        <v>64</v>
      </c>
      <c r="P517">
        <v>84.824000000000012</v>
      </c>
    </row>
    <row r="518" spans="1:16" x14ac:dyDescent="0.3">
      <c r="A518" s="1">
        <v>45748</v>
      </c>
      <c r="B518" s="2" t="s">
        <v>39</v>
      </c>
      <c r="C518" s="2" t="s">
        <v>88</v>
      </c>
      <c r="D518" s="2" t="s">
        <v>50</v>
      </c>
      <c r="E518" s="2" t="s">
        <v>42</v>
      </c>
      <c r="F518" s="2" t="s">
        <v>48</v>
      </c>
      <c r="G518" s="2" t="s">
        <v>133</v>
      </c>
      <c r="H518">
        <v>1</v>
      </c>
      <c r="I518">
        <v>1</v>
      </c>
      <c r="J518">
        <v>23.16</v>
      </c>
      <c r="K518">
        <v>0.05</v>
      </c>
      <c r="L518">
        <v>8</v>
      </c>
      <c r="M518">
        <v>23.16</v>
      </c>
      <c r="N518">
        <v>22.001999999999999</v>
      </c>
      <c r="O518">
        <v>8</v>
      </c>
      <c r="P518">
        <v>14.001999999999999</v>
      </c>
    </row>
    <row r="519" spans="1:16" x14ac:dyDescent="0.3">
      <c r="A519" s="1">
        <v>45748</v>
      </c>
      <c r="B519" s="2" t="s">
        <v>39</v>
      </c>
      <c r="C519" s="2" t="s">
        <v>92</v>
      </c>
      <c r="D519" s="2" t="s">
        <v>41</v>
      </c>
      <c r="E519" s="2" t="s">
        <v>47</v>
      </c>
      <c r="F519" s="2" t="s">
        <v>48</v>
      </c>
      <c r="G519" s="2" t="s">
        <v>196</v>
      </c>
      <c r="H519">
        <v>1</v>
      </c>
      <c r="I519">
        <v>6</v>
      </c>
      <c r="J519">
        <v>24.74</v>
      </c>
      <c r="K519">
        <v>0</v>
      </c>
      <c r="L519">
        <v>8</v>
      </c>
      <c r="M519">
        <v>148.44</v>
      </c>
      <c r="N519">
        <v>148.44</v>
      </c>
      <c r="O519">
        <v>48</v>
      </c>
      <c r="P519">
        <v>100.44</v>
      </c>
    </row>
    <row r="520" spans="1:16" x14ac:dyDescent="0.3">
      <c r="A520" s="1">
        <v>45748</v>
      </c>
      <c r="B520" s="2" t="s">
        <v>83</v>
      </c>
      <c r="C520" s="2" t="s">
        <v>126</v>
      </c>
      <c r="D520" s="2" t="s">
        <v>46</v>
      </c>
      <c r="E520" s="2" t="s">
        <v>47</v>
      </c>
      <c r="F520" s="2" t="s">
        <v>43</v>
      </c>
      <c r="G520" s="2" t="s">
        <v>127</v>
      </c>
      <c r="H520">
        <v>2</v>
      </c>
      <c r="I520">
        <v>8</v>
      </c>
      <c r="J520">
        <v>208.37</v>
      </c>
      <c r="K520">
        <v>0.125</v>
      </c>
      <c r="L520">
        <v>118</v>
      </c>
      <c r="M520">
        <v>1666.96</v>
      </c>
      <c r="N520">
        <v>1478.0079999999998</v>
      </c>
      <c r="O520">
        <v>944</v>
      </c>
      <c r="P520">
        <v>534.00799999999992</v>
      </c>
    </row>
    <row r="521" spans="1:16" x14ac:dyDescent="0.3">
      <c r="A521" s="1">
        <v>45748</v>
      </c>
      <c r="B521" s="2" t="s">
        <v>39</v>
      </c>
      <c r="C521" s="2" t="s">
        <v>88</v>
      </c>
      <c r="D521" s="2" t="s">
        <v>41</v>
      </c>
      <c r="E521" s="2" t="s">
        <v>42</v>
      </c>
      <c r="F521" s="2" t="s">
        <v>52</v>
      </c>
      <c r="G521" s="2" t="s">
        <v>117</v>
      </c>
      <c r="H521">
        <v>1</v>
      </c>
      <c r="I521">
        <v>3</v>
      </c>
      <c r="J521">
        <v>218.65</v>
      </c>
      <c r="K521">
        <v>0</v>
      </c>
      <c r="L521">
        <v>124</v>
      </c>
      <c r="M521">
        <v>655.95</v>
      </c>
      <c r="N521">
        <v>655.95</v>
      </c>
      <c r="O521">
        <v>372</v>
      </c>
      <c r="P521">
        <v>283.95000000000005</v>
      </c>
    </row>
    <row r="522" spans="1:16" x14ac:dyDescent="0.3">
      <c r="A522" s="1">
        <v>45778</v>
      </c>
      <c r="B522" s="2" t="s">
        <v>39</v>
      </c>
      <c r="C522" s="2" t="s">
        <v>88</v>
      </c>
      <c r="D522" s="2" t="s">
        <v>50</v>
      </c>
      <c r="E522" s="2" t="s">
        <v>47</v>
      </c>
      <c r="F522" s="2" t="s">
        <v>43</v>
      </c>
      <c r="G522" s="2" t="s">
        <v>125</v>
      </c>
      <c r="H522">
        <v>1</v>
      </c>
      <c r="I522">
        <v>4</v>
      </c>
      <c r="J522">
        <v>624.61</v>
      </c>
      <c r="K522">
        <v>0.05</v>
      </c>
      <c r="L522">
        <v>395</v>
      </c>
      <c r="M522">
        <v>2498.44</v>
      </c>
      <c r="N522">
        <v>2373.518</v>
      </c>
      <c r="O522">
        <v>1580</v>
      </c>
      <c r="P522">
        <v>793.51800000000003</v>
      </c>
    </row>
    <row r="523" spans="1:16" x14ac:dyDescent="0.3">
      <c r="A523" s="1">
        <v>45778</v>
      </c>
      <c r="B523" s="2" t="s">
        <v>39</v>
      </c>
      <c r="C523" s="2" t="s">
        <v>45</v>
      </c>
      <c r="D523" s="2" t="s">
        <v>41</v>
      </c>
      <c r="E523" s="2" t="s">
        <v>42</v>
      </c>
      <c r="F523" s="2" t="s">
        <v>43</v>
      </c>
      <c r="G523" s="2" t="s">
        <v>129</v>
      </c>
      <c r="H523">
        <v>2</v>
      </c>
      <c r="I523">
        <v>4</v>
      </c>
      <c r="J523">
        <v>649.56000000000006</v>
      </c>
      <c r="K523">
        <v>0</v>
      </c>
      <c r="L523">
        <v>423</v>
      </c>
      <c r="M523">
        <v>3554.54</v>
      </c>
      <c r="N523">
        <v>3554.54</v>
      </c>
      <c r="O523">
        <v>2366</v>
      </c>
      <c r="P523">
        <v>1188.5400000000002</v>
      </c>
    </row>
    <row r="524" spans="1:16" x14ac:dyDescent="0.3">
      <c r="A524" s="1">
        <v>45778</v>
      </c>
      <c r="B524" s="2" t="s">
        <v>75</v>
      </c>
      <c r="C524" s="2" t="s">
        <v>101</v>
      </c>
      <c r="D524" s="2" t="s">
        <v>50</v>
      </c>
      <c r="E524" s="2" t="s">
        <v>42</v>
      </c>
      <c r="F524" s="2" t="s">
        <v>48</v>
      </c>
      <c r="G524" s="2" t="s">
        <v>149</v>
      </c>
      <c r="H524">
        <v>1</v>
      </c>
      <c r="I524">
        <v>4</v>
      </c>
      <c r="J524">
        <v>69.86</v>
      </c>
      <c r="K524">
        <v>0.08</v>
      </c>
      <c r="L524">
        <v>31</v>
      </c>
      <c r="M524">
        <v>279.44</v>
      </c>
      <c r="N524">
        <v>257.08480000000003</v>
      </c>
      <c r="O524">
        <v>124</v>
      </c>
      <c r="P524">
        <v>133.08480000000003</v>
      </c>
    </row>
    <row r="525" spans="1:16" x14ac:dyDescent="0.3">
      <c r="A525" s="1">
        <v>45778</v>
      </c>
      <c r="B525" s="2" t="s">
        <v>39</v>
      </c>
      <c r="C525" s="2" t="s">
        <v>78</v>
      </c>
      <c r="D525" s="2" t="s">
        <v>46</v>
      </c>
      <c r="E525" s="2" t="s">
        <v>42</v>
      </c>
      <c r="F525" s="2" t="s">
        <v>52</v>
      </c>
      <c r="G525" s="2" t="s">
        <v>79</v>
      </c>
      <c r="H525">
        <v>1</v>
      </c>
      <c r="I525">
        <v>2</v>
      </c>
      <c r="J525">
        <v>42.47</v>
      </c>
      <c r="K525">
        <v>0.05</v>
      </c>
      <c r="L525">
        <v>18</v>
      </c>
      <c r="M525">
        <v>84.94</v>
      </c>
      <c r="N525">
        <v>80.692999999999998</v>
      </c>
      <c r="O525">
        <v>36</v>
      </c>
      <c r="P525">
        <v>44.692999999999998</v>
      </c>
    </row>
    <row r="526" spans="1:16" x14ac:dyDescent="0.3">
      <c r="A526" s="1">
        <v>45778</v>
      </c>
      <c r="B526" s="2" t="s">
        <v>39</v>
      </c>
      <c r="C526" s="2" t="s">
        <v>40</v>
      </c>
      <c r="D526" s="2" t="s">
        <v>50</v>
      </c>
      <c r="E526" s="2" t="s">
        <v>47</v>
      </c>
      <c r="F526" s="2" t="s">
        <v>43</v>
      </c>
      <c r="G526" s="2" t="s">
        <v>114</v>
      </c>
      <c r="H526">
        <v>1</v>
      </c>
      <c r="I526">
        <v>3</v>
      </c>
      <c r="J526">
        <v>184.37</v>
      </c>
      <c r="K526">
        <v>0.08</v>
      </c>
      <c r="L526">
        <v>86</v>
      </c>
      <c r="M526">
        <v>553.11</v>
      </c>
      <c r="N526">
        <v>508.86120000000005</v>
      </c>
      <c r="O526">
        <v>258</v>
      </c>
      <c r="P526">
        <v>250.86120000000005</v>
      </c>
    </row>
    <row r="527" spans="1:16" x14ac:dyDescent="0.3">
      <c r="A527" s="1">
        <v>45778</v>
      </c>
      <c r="B527" s="2" t="s">
        <v>39</v>
      </c>
      <c r="C527" s="2" t="s">
        <v>40</v>
      </c>
      <c r="D527" s="2" t="s">
        <v>50</v>
      </c>
      <c r="E527" s="2" t="s">
        <v>47</v>
      </c>
      <c r="F527" s="2" t="s">
        <v>48</v>
      </c>
      <c r="G527" s="2" t="s">
        <v>114</v>
      </c>
      <c r="H527">
        <v>1</v>
      </c>
      <c r="I527">
        <v>5</v>
      </c>
      <c r="J527">
        <v>95.56</v>
      </c>
      <c r="K527">
        <v>0.05</v>
      </c>
      <c r="L527">
        <v>39</v>
      </c>
      <c r="M527">
        <v>477.8</v>
      </c>
      <c r="N527">
        <v>453.90999999999997</v>
      </c>
      <c r="O527">
        <v>195</v>
      </c>
      <c r="P527">
        <v>258.90999999999997</v>
      </c>
    </row>
    <row r="528" spans="1:16" x14ac:dyDescent="0.3">
      <c r="A528" s="1">
        <v>45778</v>
      </c>
      <c r="B528" s="2" t="s">
        <v>65</v>
      </c>
      <c r="C528" s="2" t="s">
        <v>66</v>
      </c>
      <c r="D528" s="2" t="s">
        <v>50</v>
      </c>
      <c r="E528" s="2" t="s">
        <v>42</v>
      </c>
      <c r="F528" s="2" t="s">
        <v>43</v>
      </c>
      <c r="G528" s="2" t="s">
        <v>49</v>
      </c>
      <c r="H528">
        <v>1</v>
      </c>
      <c r="I528">
        <v>1</v>
      </c>
      <c r="J528">
        <v>288.44</v>
      </c>
      <c r="K528">
        <v>0.08</v>
      </c>
      <c r="L528">
        <v>182</v>
      </c>
      <c r="M528">
        <v>288.44</v>
      </c>
      <c r="N528">
        <v>265.3648</v>
      </c>
      <c r="O528">
        <v>182</v>
      </c>
      <c r="P528">
        <v>83.364800000000002</v>
      </c>
    </row>
    <row r="529" spans="1:16" x14ac:dyDescent="0.3">
      <c r="A529" s="1">
        <v>45778</v>
      </c>
      <c r="B529" s="2" t="s">
        <v>65</v>
      </c>
      <c r="C529" s="2" t="s">
        <v>66</v>
      </c>
      <c r="D529" s="2" t="s">
        <v>50</v>
      </c>
      <c r="E529" s="2" t="s">
        <v>42</v>
      </c>
      <c r="F529" s="2" t="s">
        <v>43</v>
      </c>
      <c r="G529" s="2" t="s">
        <v>220</v>
      </c>
      <c r="H529">
        <v>1</v>
      </c>
      <c r="I529">
        <v>3</v>
      </c>
      <c r="J529">
        <v>182.27</v>
      </c>
      <c r="K529">
        <v>0.12</v>
      </c>
      <c r="L529">
        <v>86</v>
      </c>
      <c r="M529">
        <v>546.81000000000006</v>
      </c>
      <c r="N529">
        <v>481.19280000000003</v>
      </c>
      <c r="O529">
        <v>258</v>
      </c>
      <c r="P529">
        <v>223.19280000000003</v>
      </c>
    </row>
    <row r="530" spans="1:16" x14ac:dyDescent="0.3">
      <c r="A530" s="1">
        <v>45778</v>
      </c>
      <c r="B530" s="2" t="s">
        <v>56</v>
      </c>
      <c r="C530" s="2" t="s">
        <v>72</v>
      </c>
      <c r="D530" s="2" t="s">
        <v>50</v>
      </c>
      <c r="E530" s="2" t="s">
        <v>47</v>
      </c>
      <c r="F530" s="2" t="s">
        <v>43</v>
      </c>
      <c r="G530" s="2" t="s">
        <v>221</v>
      </c>
      <c r="H530">
        <v>1</v>
      </c>
      <c r="I530">
        <v>4</v>
      </c>
      <c r="J530">
        <v>307.47000000000003</v>
      </c>
      <c r="K530">
        <v>0.12</v>
      </c>
      <c r="L530">
        <v>182</v>
      </c>
      <c r="M530">
        <v>1229.8800000000001</v>
      </c>
      <c r="N530">
        <v>1082.2944</v>
      </c>
      <c r="O530">
        <v>728</v>
      </c>
      <c r="P530">
        <v>354.2944</v>
      </c>
    </row>
    <row r="531" spans="1:16" x14ac:dyDescent="0.3">
      <c r="A531" s="1">
        <v>45778</v>
      </c>
      <c r="B531" s="2" t="s">
        <v>39</v>
      </c>
      <c r="C531" s="2" t="s">
        <v>92</v>
      </c>
      <c r="D531" s="2" t="s">
        <v>50</v>
      </c>
      <c r="E531" s="2" t="s">
        <v>51</v>
      </c>
      <c r="F531" s="2" t="s">
        <v>48</v>
      </c>
      <c r="G531" s="2" t="s">
        <v>160</v>
      </c>
      <c r="H531">
        <v>1</v>
      </c>
      <c r="I531">
        <v>15</v>
      </c>
      <c r="J531">
        <v>119.79</v>
      </c>
      <c r="K531">
        <v>0.08</v>
      </c>
      <c r="L531">
        <v>63</v>
      </c>
      <c r="M531">
        <v>1796.8500000000001</v>
      </c>
      <c r="N531">
        <v>1653.1020000000001</v>
      </c>
      <c r="O531">
        <v>945</v>
      </c>
      <c r="P531">
        <v>708.10200000000009</v>
      </c>
    </row>
    <row r="532" spans="1:16" x14ac:dyDescent="0.3">
      <c r="A532" s="1">
        <v>45778</v>
      </c>
      <c r="B532" s="2" t="s">
        <v>39</v>
      </c>
      <c r="C532" s="2" t="s">
        <v>40</v>
      </c>
      <c r="D532" s="2" t="s">
        <v>41</v>
      </c>
      <c r="E532" s="2" t="s">
        <v>47</v>
      </c>
      <c r="F532" s="2" t="s">
        <v>43</v>
      </c>
      <c r="G532" s="2" t="s">
        <v>137</v>
      </c>
      <c r="H532">
        <v>1</v>
      </c>
      <c r="I532">
        <v>1</v>
      </c>
      <c r="J532">
        <v>296.27</v>
      </c>
      <c r="K532">
        <v>0</v>
      </c>
      <c r="L532">
        <v>182</v>
      </c>
      <c r="M532">
        <v>296.27</v>
      </c>
      <c r="N532">
        <v>296.27</v>
      </c>
      <c r="O532">
        <v>182</v>
      </c>
      <c r="P532">
        <v>114.26999999999998</v>
      </c>
    </row>
    <row r="533" spans="1:16" x14ac:dyDescent="0.3">
      <c r="A533" s="1">
        <v>45778</v>
      </c>
      <c r="B533" s="2" t="s">
        <v>56</v>
      </c>
      <c r="C533" s="2" t="s">
        <v>62</v>
      </c>
      <c r="D533" s="2" t="s">
        <v>41</v>
      </c>
      <c r="E533" s="2" t="s">
        <v>42</v>
      </c>
      <c r="F533" s="2" t="s">
        <v>52</v>
      </c>
      <c r="G533" s="2" t="s">
        <v>142</v>
      </c>
      <c r="H533">
        <v>1</v>
      </c>
      <c r="I533">
        <v>1</v>
      </c>
      <c r="J533">
        <v>41.92</v>
      </c>
      <c r="K533">
        <v>0</v>
      </c>
      <c r="L533">
        <v>18</v>
      </c>
      <c r="M533">
        <v>41.92</v>
      </c>
      <c r="N533">
        <v>41.92</v>
      </c>
      <c r="O533">
        <v>18</v>
      </c>
      <c r="P533">
        <v>23.92</v>
      </c>
    </row>
    <row r="534" spans="1:16" x14ac:dyDescent="0.3">
      <c r="A534" s="1">
        <v>45778</v>
      </c>
      <c r="B534" s="2" t="s">
        <v>56</v>
      </c>
      <c r="C534" s="2" t="s">
        <v>62</v>
      </c>
      <c r="D534" s="2" t="s">
        <v>46</v>
      </c>
      <c r="E534" s="2" t="s">
        <v>47</v>
      </c>
      <c r="F534" s="2" t="s">
        <v>48</v>
      </c>
      <c r="G534" s="2" t="s">
        <v>63</v>
      </c>
      <c r="H534">
        <v>2</v>
      </c>
      <c r="I534">
        <v>12</v>
      </c>
      <c r="J534">
        <v>24.09</v>
      </c>
      <c r="K534">
        <v>0.05</v>
      </c>
      <c r="L534">
        <v>8</v>
      </c>
      <c r="M534">
        <v>289.08</v>
      </c>
      <c r="N534">
        <v>274.62599999999998</v>
      </c>
      <c r="O534">
        <v>96</v>
      </c>
      <c r="P534">
        <v>178.62599999999998</v>
      </c>
    </row>
    <row r="535" spans="1:16" x14ac:dyDescent="0.3">
      <c r="A535" s="1">
        <v>45778</v>
      </c>
      <c r="B535" s="2" t="s">
        <v>56</v>
      </c>
      <c r="C535" s="2" t="s">
        <v>62</v>
      </c>
      <c r="D535" s="2" t="s">
        <v>46</v>
      </c>
      <c r="E535" s="2" t="s">
        <v>47</v>
      </c>
      <c r="F535" s="2" t="s">
        <v>43</v>
      </c>
      <c r="G535" s="2" t="s">
        <v>63</v>
      </c>
      <c r="H535">
        <v>1</v>
      </c>
      <c r="I535">
        <v>2</v>
      </c>
      <c r="J535">
        <v>177.13</v>
      </c>
      <c r="K535">
        <v>0.08</v>
      </c>
      <c r="L535">
        <v>86</v>
      </c>
      <c r="M535">
        <v>354.26</v>
      </c>
      <c r="N535">
        <v>325.91919999999999</v>
      </c>
      <c r="O535">
        <v>172</v>
      </c>
      <c r="P535">
        <v>153.91919999999999</v>
      </c>
    </row>
    <row r="536" spans="1:16" x14ac:dyDescent="0.3">
      <c r="A536" s="1">
        <v>45778</v>
      </c>
      <c r="B536" s="2" t="s">
        <v>56</v>
      </c>
      <c r="C536" s="2" t="s">
        <v>62</v>
      </c>
      <c r="D536" s="2" t="s">
        <v>41</v>
      </c>
      <c r="E536" s="2" t="s">
        <v>42</v>
      </c>
      <c r="F536" s="2" t="s">
        <v>43</v>
      </c>
      <c r="G536" s="2" t="s">
        <v>143</v>
      </c>
      <c r="H536">
        <v>3</v>
      </c>
      <c r="I536">
        <v>5</v>
      </c>
      <c r="J536">
        <v>616.78</v>
      </c>
      <c r="K536">
        <v>0</v>
      </c>
      <c r="L536">
        <v>375.33333333333337</v>
      </c>
      <c r="M536">
        <v>2881.93</v>
      </c>
      <c r="N536">
        <v>2881.93</v>
      </c>
      <c r="O536">
        <v>1732</v>
      </c>
      <c r="P536">
        <v>1149.93</v>
      </c>
    </row>
    <row r="537" spans="1:16" x14ac:dyDescent="0.3">
      <c r="A537" s="1">
        <v>45778</v>
      </c>
      <c r="B537" s="2" t="s">
        <v>65</v>
      </c>
      <c r="C537" s="2" t="s">
        <v>66</v>
      </c>
      <c r="D537" s="2" t="s">
        <v>41</v>
      </c>
      <c r="E537" s="2" t="s">
        <v>42</v>
      </c>
      <c r="F537" s="2" t="s">
        <v>48</v>
      </c>
      <c r="G537" s="2" t="s">
        <v>176</v>
      </c>
      <c r="H537">
        <v>1</v>
      </c>
      <c r="I537">
        <v>3</v>
      </c>
      <c r="J537">
        <v>89.52</v>
      </c>
      <c r="K537">
        <v>0</v>
      </c>
      <c r="L537">
        <v>39</v>
      </c>
      <c r="M537">
        <v>268.56</v>
      </c>
      <c r="N537">
        <v>268.56</v>
      </c>
      <c r="O537">
        <v>117</v>
      </c>
      <c r="P537">
        <v>151.56</v>
      </c>
    </row>
    <row r="538" spans="1:16" x14ac:dyDescent="0.3">
      <c r="A538" s="1">
        <v>45778</v>
      </c>
      <c r="B538" s="2" t="s">
        <v>56</v>
      </c>
      <c r="C538" s="2" t="s">
        <v>72</v>
      </c>
      <c r="D538" s="2" t="s">
        <v>50</v>
      </c>
      <c r="E538" s="2" t="s">
        <v>51</v>
      </c>
      <c r="F538" s="2" t="s">
        <v>48</v>
      </c>
      <c r="G538" s="2" t="s">
        <v>73</v>
      </c>
      <c r="H538">
        <v>1</v>
      </c>
      <c r="I538">
        <v>15</v>
      </c>
      <c r="J538">
        <v>125.26</v>
      </c>
      <c r="K538">
        <v>0.08</v>
      </c>
      <c r="L538">
        <v>63</v>
      </c>
      <c r="M538">
        <v>1878.9</v>
      </c>
      <c r="N538">
        <v>1728.5880000000002</v>
      </c>
      <c r="O538">
        <v>945</v>
      </c>
      <c r="P538">
        <v>783.58800000000019</v>
      </c>
    </row>
    <row r="539" spans="1:16" x14ac:dyDescent="0.3">
      <c r="A539" s="1">
        <v>45778</v>
      </c>
      <c r="B539" s="2" t="s">
        <v>39</v>
      </c>
      <c r="C539" s="2" t="s">
        <v>88</v>
      </c>
      <c r="D539" s="2" t="s">
        <v>50</v>
      </c>
      <c r="E539" s="2" t="s">
        <v>47</v>
      </c>
      <c r="F539" s="2" t="s">
        <v>43</v>
      </c>
      <c r="G539" s="2" t="s">
        <v>192</v>
      </c>
      <c r="H539">
        <v>1</v>
      </c>
      <c r="I539">
        <v>3</v>
      </c>
      <c r="J539">
        <v>845.85</v>
      </c>
      <c r="K539">
        <v>0.12</v>
      </c>
      <c r="L539">
        <v>520</v>
      </c>
      <c r="M539">
        <v>2537.5500000000002</v>
      </c>
      <c r="N539">
        <v>2233.0440000000003</v>
      </c>
      <c r="O539">
        <v>1560</v>
      </c>
      <c r="P539">
        <v>673.04400000000032</v>
      </c>
    </row>
    <row r="540" spans="1:16" x14ac:dyDescent="0.3">
      <c r="A540" s="1">
        <v>45778</v>
      </c>
      <c r="B540" s="2" t="s">
        <v>56</v>
      </c>
      <c r="C540" s="2" t="s">
        <v>72</v>
      </c>
      <c r="D540" s="2" t="s">
        <v>50</v>
      </c>
      <c r="E540" s="2" t="s">
        <v>42</v>
      </c>
      <c r="F540" s="2" t="s">
        <v>43</v>
      </c>
      <c r="G540" s="2" t="s">
        <v>118</v>
      </c>
      <c r="H540">
        <v>1</v>
      </c>
      <c r="I540">
        <v>2</v>
      </c>
      <c r="J540">
        <v>289.13</v>
      </c>
      <c r="K540">
        <v>0.1</v>
      </c>
      <c r="L540">
        <v>182</v>
      </c>
      <c r="M540">
        <v>578.26</v>
      </c>
      <c r="N540">
        <v>520.43399999999997</v>
      </c>
      <c r="O540">
        <v>364</v>
      </c>
      <c r="P540">
        <v>156.43399999999997</v>
      </c>
    </row>
    <row r="541" spans="1:16" x14ac:dyDescent="0.3">
      <c r="A541" s="1">
        <v>45778</v>
      </c>
      <c r="B541" s="2" t="s">
        <v>83</v>
      </c>
      <c r="C541" s="2" t="s">
        <v>84</v>
      </c>
      <c r="D541" s="2" t="s">
        <v>41</v>
      </c>
      <c r="E541" s="2" t="s">
        <v>42</v>
      </c>
      <c r="F541" s="2" t="s">
        <v>48</v>
      </c>
      <c r="G541" s="2" t="s">
        <v>222</v>
      </c>
      <c r="H541">
        <v>1</v>
      </c>
      <c r="I541">
        <v>4</v>
      </c>
      <c r="J541">
        <v>93.04</v>
      </c>
      <c r="K541">
        <v>0</v>
      </c>
      <c r="L541">
        <v>39</v>
      </c>
      <c r="M541">
        <v>372.16</v>
      </c>
      <c r="N541">
        <v>372.16</v>
      </c>
      <c r="O541">
        <v>156</v>
      </c>
      <c r="P541">
        <v>216.16000000000003</v>
      </c>
    </row>
    <row r="542" spans="1:16" x14ac:dyDescent="0.3">
      <c r="A542" s="1">
        <v>45778</v>
      </c>
      <c r="B542" s="2" t="s">
        <v>83</v>
      </c>
      <c r="C542" s="2" t="s">
        <v>84</v>
      </c>
      <c r="D542" s="2" t="s">
        <v>41</v>
      </c>
      <c r="E542" s="2" t="s">
        <v>42</v>
      </c>
      <c r="F542" s="2" t="s">
        <v>43</v>
      </c>
      <c r="G542" s="2" t="s">
        <v>222</v>
      </c>
      <c r="H542">
        <v>1</v>
      </c>
      <c r="I542">
        <v>3</v>
      </c>
      <c r="J542">
        <v>1156.1600000000001</v>
      </c>
      <c r="K542">
        <v>0</v>
      </c>
      <c r="L542">
        <v>760</v>
      </c>
      <c r="M542">
        <v>3468.4800000000005</v>
      </c>
      <c r="N542">
        <v>3468.4800000000005</v>
      </c>
      <c r="O542">
        <v>2280</v>
      </c>
      <c r="P542">
        <v>1188.4800000000005</v>
      </c>
    </row>
    <row r="543" spans="1:16" x14ac:dyDescent="0.3">
      <c r="A543" s="1">
        <v>45778</v>
      </c>
      <c r="B543" s="2" t="s">
        <v>39</v>
      </c>
      <c r="C543" s="2" t="s">
        <v>54</v>
      </c>
      <c r="D543" s="2" t="s">
        <v>41</v>
      </c>
      <c r="E543" s="2" t="s">
        <v>47</v>
      </c>
      <c r="F543" s="2" t="s">
        <v>52</v>
      </c>
      <c r="G543" s="2" t="s">
        <v>168</v>
      </c>
      <c r="H543">
        <v>1</v>
      </c>
      <c r="I543">
        <v>3</v>
      </c>
      <c r="J543">
        <v>212.69</v>
      </c>
      <c r="K543">
        <v>0</v>
      </c>
      <c r="L543">
        <v>1</v>
      </c>
      <c r="M543">
        <v>638.06999999999994</v>
      </c>
      <c r="N543">
        <v>638.06999999999994</v>
      </c>
      <c r="O543">
        <v>3</v>
      </c>
      <c r="P543">
        <v>635.06999999999994</v>
      </c>
    </row>
    <row r="544" spans="1:16" x14ac:dyDescent="0.3">
      <c r="A544" s="1">
        <v>45778</v>
      </c>
      <c r="B544" s="2" t="s">
        <v>39</v>
      </c>
      <c r="C544" s="2" t="s">
        <v>54</v>
      </c>
      <c r="D544" s="2" t="s">
        <v>41</v>
      </c>
      <c r="E544" s="2" t="s">
        <v>47</v>
      </c>
      <c r="F544" s="2" t="s">
        <v>48</v>
      </c>
      <c r="G544" s="2" t="s">
        <v>168</v>
      </c>
      <c r="H544">
        <v>1</v>
      </c>
      <c r="I544">
        <v>4</v>
      </c>
      <c r="J544">
        <v>74.33</v>
      </c>
      <c r="K544">
        <v>0</v>
      </c>
      <c r="L544">
        <v>31</v>
      </c>
      <c r="M544">
        <v>297.32</v>
      </c>
      <c r="N544">
        <v>297.32</v>
      </c>
      <c r="O544">
        <v>124</v>
      </c>
      <c r="P544">
        <v>173.32</v>
      </c>
    </row>
    <row r="545" spans="1:16" x14ac:dyDescent="0.3">
      <c r="A545" s="1">
        <v>45778</v>
      </c>
      <c r="B545" s="2" t="s">
        <v>39</v>
      </c>
      <c r="C545" s="2" t="s">
        <v>92</v>
      </c>
      <c r="D545" s="2" t="s">
        <v>41</v>
      </c>
      <c r="E545" s="2" t="s">
        <v>51</v>
      </c>
      <c r="F545" s="2" t="s">
        <v>52</v>
      </c>
      <c r="G545" s="2" t="s">
        <v>148</v>
      </c>
      <c r="H545">
        <v>1</v>
      </c>
      <c r="I545">
        <v>9</v>
      </c>
      <c r="J545">
        <v>196.98</v>
      </c>
      <c r="K545">
        <v>0</v>
      </c>
      <c r="L545">
        <v>124</v>
      </c>
      <c r="M545">
        <v>1772.82</v>
      </c>
      <c r="N545">
        <v>1772.82</v>
      </c>
      <c r="O545">
        <v>1116</v>
      </c>
      <c r="P545">
        <v>656.81999999999994</v>
      </c>
    </row>
    <row r="546" spans="1:16" x14ac:dyDescent="0.3">
      <c r="A546" s="1">
        <v>45778</v>
      </c>
      <c r="B546" s="2" t="s">
        <v>56</v>
      </c>
      <c r="C546" s="2" t="s">
        <v>57</v>
      </c>
      <c r="D546" s="2" t="s">
        <v>46</v>
      </c>
      <c r="E546" s="2" t="s">
        <v>42</v>
      </c>
      <c r="F546" s="2" t="s">
        <v>52</v>
      </c>
      <c r="G546" s="2" t="s">
        <v>116</v>
      </c>
      <c r="H546">
        <v>1</v>
      </c>
      <c r="I546">
        <v>1</v>
      </c>
      <c r="J546">
        <v>42.17</v>
      </c>
      <c r="K546">
        <v>0.1</v>
      </c>
      <c r="L546">
        <v>18</v>
      </c>
      <c r="M546">
        <v>42.17</v>
      </c>
      <c r="N546">
        <v>37.953000000000003</v>
      </c>
      <c r="O546">
        <v>18</v>
      </c>
      <c r="P546">
        <v>19.953000000000003</v>
      </c>
    </row>
    <row r="547" spans="1:16" x14ac:dyDescent="0.3">
      <c r="A547" s="1">
        <v>45778</v>
      </c>
      <c r="B547" s="2" t="s">
        <v>39</v>
      </c>
      <c r="C547" s="2" t="s">
        <v>45</v>
      </c>
      <c r="D547" s="2" t="s">
        <v>41</v>
      </c>
      <c r="E547" s="2" t="s">
        <v>47</v>
      </c>
      <c r="F547" s="2" t="s">
        <v>43</v>
      </c>
      <c r="G547" s="2" t="s">
        <v>129</v>
      </c>
      <c r="H547">
        <v>1</v>
      </c>
      <c r="I547">
        <v>4</v>
      </c>
      <c r="J547">
        <v>294.91000000000003</v>
      </c>
      <c r="K547">
        <v>0</v>
      </c>
      <c r="L547">
        <v>182</v>
      </c>
      <c r="M547">
        <v>1179.6400000000001</v>
      </c>
      <c r="N547">
        <v>1179.6400000000001</v>
      </c>
      <c r="O547">
        <v>728</v>
      </c>
      <c r="P547">
        <v>451.6400000000001</v>
      </c>
    </row>
    <row r="548" spans="1:16" x14ac:dyDescent="0.3">
      <c r="A548" s="1">
        <v>45778</v>
      </c>
      <c r="B548" s="2" t="s">
        <v>39</v>
      </c>
      <c r="C548" s="2" t="s">
        <v>45</v>
      </c>
      <c r="D548" s="2" t="s">
        <v>41</v>
      </c>
      <c r="E548" s="2" t="s">
        <v>47</v>
      </c>
      <c r="F548" s="2" t="s">
        <v>48</v>
      </c>
      <c r="G548" s="2" t="s">
        <v>129</v>
      </c>
      <c r="H548">
        <v>1</v>
      </c>
      <c r="I548">
        <v>6</v>
      </c>
      <c r="J548">
        <v>140.68</v>
      </c>
      <c r="K548">
        <v>0</v>
      </c>
      <c r="L548">
        <v>63</v>
      </c>
      <c r="M548">
        <v>844.08</v>
      </c>
      <c r="N548">
        <v>844.08</v>
      </c>
      <c r="O548">
        <v>378</v>
      </c>
      <c r="P548">
        <v>466.08000000000004</v>
      </c>
    </row>
    <row r="549" spans="1:16" x14ac:dyDescent="0.3">
      <c r="A549" s="1">
        <v>45778</v>
      </c>
      <c r="B549" s="2" t="s">
        <v>39</v>
      </c>
      <c r="C549" s="2" t="s">
        <v>54</v>
      </c>
      <c r="D549" s="2" t="s">
        <v>41</v>
      </c>
      <c r="E549" s="2" t="s">
        <v>51</v>
      </c>
      <c r="F549" s="2" t="s">
        <v>43</v>
      </c>
      <c r="G549" s="2" t="s">
        <v>55</v>
      </c>
      <c r="H549">
        <v>2</v>
      </c>
      <c r="I549">
        <v>21</v>
      </c>
      <c r="J549">
        <v>665.54500000000007</v>
      </c>
      <c r="K549">
        <v>0</v>
      </c>
      <c r="L549">
        <v>471</v>
      </c>
      <c r="M549">
        <v>12782.91</v>
      </c>
      <c r="N549">
        <v>12782.91</v>
      </c>
      <c r="O549">
        <v>9024</v>
      </c>
      <c r="P549">
        <v>3758.91</v>
      </c>
    </row>
    <row r="550" spans="1:16" x14ac:dyDescent="0.3">
      <c r="A550" s="1">
        <v>45778</v>
      </c>
      <c r="B550" s="2" t="s">
        <v>39</v>
      </c>
      <c r="C550" s="2" t="s">
        <v>40</v>
      </c>
      <c r="D550" s="2" t="s">
        <v>50</v>
      </c>
      <c r="E550" s="2" t="s">
        <v>42</v>
      </c>
      <c r="F550" s="2" t="s">
        <v>48</v>
      </c>
      <c r="G550" s="2" t="s">
        <v>124</v>
      </c>
      <c r="H550">
        <v>1</v>
      </c>
      <c r="I550">
        <v>1</v>
      </c>
      <c r="J550">
        <v>137.75</v>
      </c>
      <c r="K550">
        <v>0.12</v>
      </c>
      <c r="L550">
        <v>63</v>
      </c>
      <c r="M550">
        <v>137.75</v>
      </c>
      <c r="N550">
        <v>121.22</v>
      </c>
      <c r="O550">
        <v>63</v>
      </c>
      <c r="P550">
        <v>58.22</v>
      </c>
    </row>
    <row r="551" spans="1:16" x14ac:dyDescent="0.3">
      <c r="A551" s="1">
        <v>45778</v>
      </c>
      <c r="B551" s="2" t="s">
        <v>39</v>
      </c>
      <c r="C551" s="2" t="s">
        <v>40</v>
      </c>
      <c r="D551" s="2" t="s">
        <v>50</v>
      </c>
      <c r="E551" s="2" t="s">
        <v>42</v>
      </c>
      <c r="F551" s="2" t="s">
        <v>43</v>
      </c>
      <c r="G551" s="2" t="s">
        <v>124</v>
      </c>
      <c r="H551">
        <v>1</v>
      </c>
      <c r="I551">
        <v>2</v>
      </c>
      <c r="J551">
        <v>1159.95</v>
      </c>
      <c r="K551">
        <v>0.08</v>
      </c>
      <c r="L551">
        <v>760</v>
      </c>
      <c r="M551">
        <v>2319.9</v>
      </c>
      <c r="N551">
        <v>2134.308</v>
      </c>
      <c r="O551">
        <v>1520</v>
      </c>
      <c r="P551">
        <v>614.30799999999999</v>
      </c>
    </row>
    <row r="552" spans="1:16" x14ac:dyDescent="0.3">
      <c r="A552" s="1">
        <v>45778</v>
      </c>
      <c r="B552" s="2" t="s">
        <v>197</v>
      </c>
      <c r="C552" s="2" t="s">
        <v>40</v>
      </c>
      <c r="D552" s="2" t="s">
        <v>50</v>
      </c>
      <c r="E552" s="2" t="s">
        <v>47</v>
      </c>
      <c r="F552" s="2" t="s">
        <v>43</v>
      </c>
      <c r="G552" s="2" t="s">
        <v>198</v>
      </c>
      <c r="H552">
        <v>1</v>
      </c>
      <c r="I552">
        <v>2</v>
      </c>
      <c r="J552">
        <v>175.67</v>
      </c>
      <c r="K552">
        <v>0.08</v>
      </c>
      <c r="L552">
        <v>86</v>
      </c>
      <c r="M552">
        <v>351.34</v>
      </c>
      <c r="N552">
        <v>323.2328</v>
      </c>
      <c r="O552">
        <v>172</v>
      </c>
      <c r="P552">
        <v>151.2328</v>
      </c>
    </row>
    <row r="553" spans="1:16" x14ac:dyDescent="0.3">
      <c r="A553" s="1">
        <v>45778</v>
      </c>
      <c r="B553" s="2" t="s">
        <v>39</v>
      </c>
      <c r="C553" s="2" t="s">
        <v>78</v>
      </c>
      <c r="D553" s="2" t="s">
        <v>46</v>
      </c>
      <c r="E553" s="2" t="s">
        <v>42</v>
      </c>
      <c r="F553" s="2" t="s">
        <v>43</v>
      </c>
      <c r="G553" s="2" t="s">
        <v>223</v>
      </c>
      <c r="H553">
        <v>1</v>
      </c>
      <c r="I553">
        <v>2</v>
      </c>
      <c r="J553">
        <v>107.03</v>
      </c>
      <c r="K553">
        <v>0.08</v>
      </c>
      <c r="L553">
        <v>54</v>
      </c>
      <c r="M553">
        <v>214.06</v>
      </c>
      <c r="N553">
        <v>196.93520000000001</v>
      </c>
      <c r="O553">
        <v>108</v>
      </c>
      <c r="P553">
        <v>88.935200000000009</v>
      </c>
    </row>
    <row r="554" spans="1:16" x14ac:dyDescent="0.3">
      <c r="A554" s="1">
        <v>45778</v>
      </c>
      <c r="B554" s="2" t="s">
        <v>39</v>
      </c>
      <c r="C554" s="2" t="s">
        <v>45</v>
      </c>
      <c r="D554" s="2" t="s">
        <v>41</v>
      </c>
      <c r="E554" s="2" t="s">
        <v>47</v>
      </c>
      <c r="F554" s="2" t="s">
        <v>48</v>
      </c>
      <c r="G554" s="2" t="s">
        <v>61</v>
      </c>
      <c r="H554">
        <v>1</v>
      </c>
      <c r="I554">
        <v>5</v>
      </c>
      <c r="J554">
        <v>142.6</v>
      </c>
      <c r="K554">
        <v>0</v>
      </c>
      <c r="L554">
        <v>63</v>
      </c>
      <c r="M554">
        <v>713</v>
      </c>
      <c r="N554">
        <v>713</v>
      </c>
      <c r="O554">
        <v>315</v>
      </c>
      <c r="P554">
        <v>398</v>
      </c>
    </row>
    <row r="555" spans="1:16" x14ac:dyDescent="0.3">
      <c r="A555" s="1">
        <v>45778</v>
      </c>
      <c r="B555" s="2" t="s">
        <v>39</v>
      </c>
      <c r="C555" s="2" t="s">
        <v>88</v>
      </c>
      <c r="D555" s="2" t="s">
        <v>41</v>
      </c>
      <c r="E555" s="2" t="s">
        <v>42</v>
      </c>
      <c r="F555" s="2" t="s">
        <v>43</v>
      </c>
      <c r="G555" s="2" t="s">
        <v>136</v>
      </c>
      <c r="H555">
        <v>2</v>
      </c>
      <c r="I555">
        <v>4</v>
      </c>
      <c r="J555">
        <v>736.09</v>
      </c>
      <c r="K555">
        <v>0.27500000000000002</v>
      </c>
      <c r="L555">
        <v>471</v>
      </c>
      <c r="M555">
        <v>2944.36</v>
      </c>
      <c r="N555">
        <v>1732.6669999999999</v>
      </c>
      <c r="O555">
        <v>1884</v>
      </c>
      <c r="P555">
        <v>-151.33299999999997</v>
      </c>
    </row>
    <row r="556" spans="1:16" x14ac:dyDescent="0.3">
      <c r="A556" s="1">
        <v>45778</v>
      </c>
      <c r="B556" s="2" t="s">
        <v>56</v>
      </c>
      <c r="C556" s="2" t="s">
        <v>57</v>
      </c>
      <c r="D556" s="2" t="s">
        <v>46</v>
      </c>
      <c r="E556" s="2" t="s">
        <v>47</v>
      </c>
      <c r="F556" s="2" t="s">
        <v>43</v>
      </c>
      <c r="G556" s="2" t="s">
        <v>111</v>
      </c>
      <c r="H556">
        <v>1</v>
      </c>
      <c r="I556">
        <v>1</v>
      </c>
      <c r="J556">
        <v>642.17999999999995</v>
      </c>
      <c r="K556">
        <v>0.1</v>
      </c>
      <c r="L556">
        <v>395</v>
      </c>
      <c r="M556">
        <v>642.17999999999995</v>
      </c>
      <c r="N556">
        <v>577.96199999999999</v>
      </c>
      <c r="O556">
        <v>395</v>
      </c>
      <c r="P556">
        <v>182.96199999999999</v>
      </c>
    </row>
    <row r="557" spans="1:16" x14ac:dyDescent="0.3">
      <c r="A557" s="1">
        <v>45992</v>
      </c>
      <c r="B557" s="2" t="s">
        <v>39</v>
      </c>
      <c r="C557" s="2" t="s">
        <v>88</v>
      </c>
      <c r="D557" s="2" t="s">
        <v>46</v>
      </c>
      <c r="E557" s="2" t="s">
        <v>42</v>
      </c>
      <c r="F557" s="2" t="s">
        <v>43</v>
      </c>
      <c r="G557" s="2" t="s">
        <v>154</v>
      </c>
      <c r="H557">
        <v>2</v>
      </c>
      <c r="I557">
        <v>3</v>
      </c>
      <c r="J557">
        <v>903.39499999999998</v>
      </c>
      <c r="K557">
        <v>0.08</v>
      </c>
      <c r="L557">
        <v>577.5</v>
      </c>
      <c r="M557">
        <v>2432.8900000000003</v>
      </c>
      <c r="N557">
        <v>2238.2588000000005</v>
      </c>
      <c r="O557">
        <v>1550</v>
      </c>
      <c r="P557">
        <v>688.25880000000029</v>
      </c>
    </row>
    <row r="558" spans="1:16" x14ac:dyDescent="0.3">
      <c r="A558" s="1">
        <v>45778</v>
      </c>
      <c r="B558" s="2" t="s">
        <v>56</v>
      </c>
      <c r="C558" s="2" t="s">
        <v>57</v>
      </c>
      <c r="D558" s="2" t="s">
        <v>50</v>
      </c>
      <c r="E558" s="2" t="s">
        <v>42</v>
      </c>
      <c r="F558" s="2" t="s">
        <v>48</v>
      </c>
      <c r="G558" s="2" t="s">
        <v>100</v>
      </c>
      <c r="H558">
        <v>1</v>
      </c>
      <c r="I558">
        <v>3</v>
      </c>
      <c r="J558">
        <v>131.91999999999999</v>
      </c>
      <c r="K558">
        <v>0.12</v>
      </c>
      <c r="L558">
        <v>63</v>
      </c>
      <c r="M558">
        <v>395.76</v>
      </c>
      <c r="N558">
        <v>348.2688</v>
      </c>
      <c r="O558">
        <v>189</v>
      </c>
      <c r="P558">
        <v>159.2688</v>
      </c>
    </row>
    <row r="559" spans="1:16" x14ac:dyDescent="0.3">
      <c r="A559" s="1">
        <v>45778</v>
      </c>
      <c r="B559" s="2" t="s">
        <v>56</v>
      </c>
      <c r="C559" s="2" t="s">
        <v>57</v>
      </c>
      <c r="D559" s="2" t="s">
        <v>50</v>
      </c>
      <c r="E559" s="2" t="s">
        <v>51</v>
      </c>
      <c r="F559" s="2" t="s">
        <v>48</v>
      </c>
      <c r="G559" s="2" t="s">
        <v>100</v>
      </c>
      <c r="H559">
        <v>1</v>
      </c>
      <c r="I559">
        <v>14</v>
      </c>
      <c r="J559">
        <v>85.84</v>
      </c>
      <c r="K559">
        <v>0.1</v>
      </c>
      <c r="L559">
        <v>39</v>
      </c>
      <c r="M559">
        <v>1201.76</v>
      </c>
      <c r="N559">
        <v>1081.5840000000001</v>
      </c>
      <c r="O559">
        <v>546</v>
      </c>
      <c r="P559">
        <v>535.58400000000006</v>
      </c>
    </row>
    <row r="560" spans="1:16" x14ac:dyDescent="0.3">
      <c r="A560" s="1">
        <v>45778</v>
      </c>
      <c r="B560" s="2" t="s">
        <v>39</v>
      </c>
      <c r="C560" s="2" t="s">
        <v>92</v>
      </c>
      <c r="D560" s="2" t="s">
        <v>50</v>
      </c>
      <c r="E560" s="2" t="s">
        <v>47</v>
      </c>
      <c r="F560" s="2" t="s">
        <v>52</v>
      </c>
      <c r="G560" s="2" t="s">
        <v>97</v>
      </c>
      <c r="H560">
        <v>1</v>
      </c>
      <c r="I560">
        <v>4</v>
      </c>
      <c r="J560">
        <v>212.95</v>
      </c>
      <c r="K560">
        <v>0.05</v>
      </c>
      <c r="L560">
        <v>124</v>
      </c>
      <c r="M560">
        <v>851.8</v>
      </c>
      <c r="N560">
        <v>809.20999999999992</v>
      </c>
      <c r="O560">
        <v>496</v>
      </c>
      <c r="P560">
        <v>313.20999999999992</v>
      </c>
    </row>
    <row r="561" spans="1:16" x14ac:dyDescent="0.3">
      <c r="A561" s="1">
        <v>45778</v>
      </c>
      <c r="B561" s="2" t="s">
        <v>39</v>
      </c>
      <c r="C561" s="2" t="s">
        <v>92</v>
      </c>
      <c r="D561" s="2" t="s">
        <v>50</v>
      </c>
      <c r="E561" s="2" t="s">
        <v>47</v>
      </c>
      <c r="F561" s="2" t="s">
        <v>43</v>
      </c>
      <c r="G561" s="2" t="s">
        <v>97</v>
      </c>
      <c r="H561">
        <v>1</v>
      </c>
      <c r="I561">
        <v>10</v>
      </c>
      <c r="J561">
        <v>652.85</v>
      </c>
      <c r="K561">
        <v>0</v>
      </c>
      <c r="L561">
        <v>395</v>
      </c>
      <c r="M561">
        <v>6528.5</v>
      </c>
      <c r="N561">
        <v>6528.5</v>
      </c>
      <c r="O561">
        <v>3950</v>
      </c>
      <c r="P561">
        <v>2578.5</v>
      </c>
    </row>
    <row r="562" spans="1:16" x14ac:dyDescent="0.3">
      <c r="A562" s="1">
        <v>45778</v>
      </c>
      <c r="B562" s="2" t="s">
        <v>56</v>
      </c>
      <c r="C562" s="2" t="s">
        <v>57</v>
      </c>
      <c r="D562" s="2" t="s">
        <v>41</v>
      </c>
      <c r="E562" s="2" t="s">
        <v>47</v>
      </c>
      <c r="F562" s="2" t="s">
        <v>48</v>
      </c>
      <c r="G562" s="2" t="s">
        <v>86</v>
      </c>
      <c r="H562">
        <v>1</v>
      </c>
      <c r="I562">
        <v>5</v>
      </c>
      <c r="J562">
        <v>93.5</v>
      </c>
      <c r="K562">
        <v>0</v>
      </c>
      <c r="L562">
        <v>39</v>
      </c>
      <c r="M562">
        <v>467.5</v>
      </c>
      <c r="N562">
        <v>467.5</v>
      </c>
      <c r="O562">
        <v>195</v>
      </c>
      <c r="P562">
        <v>272.5</v>
      </c>
    </row>
    <row r="563" spans="1:16" x14ac:dyDescent="0.3">
      <c r="A563" s="1">
        <v>45778</v>
      </c>
      <c r="B563" s="2" t="s">
        <v>39</v>
      </c>
      <c r="C563" s="2" t="s">
        <v>45</v>
      </c>
      <c r="D563" s="2" t="s">
        <v>41</v>
      </c>
      <c r="E563" s="2" t="s">
        <v>42</v>
      </c>
      <c r="F563" s="2" t="s">
        <v>48</v>
      </c>
      <c r="G563" s="2" t="s">
        <v>132</v>
      </c>
      <c r="H563">
        <v>1</v>
      </c>
      <c r="I563">
        <v>2</v>
      </c>
      <c r="J563">
        <v>22.84</v>
      </c>
      <c r="K563">
        <v>0</v>
      </c>
      <c r="L563">
        <v>8</v>
      </c>
      <c r="M563">
        <v>45.68</v>
      </c>
      <c r="N563">
        <v>45.68</v>
      </c>
      <c r="O563">
        <v>16</v>
      </c>
      <c r="P563">
        <v>29.68</v>
      </c>
    </row>
    <row r="564" spans="1:16" x14ac:dyDescent="0.3">
      <c r="A564" s="1">
        <v>45778</v>
      </c>
      <c r="B564" s="2" t="s">
        <v>39</v>
      </c>
      <c r="C564" s="2" t="s">
        <v>45</v>
      </c>
      <c r="D564" s="2" t="s">
        <v>41</v>
      </c>
      <c r="E564" s="2" t="s">
        <v>42</v>
      </c>
      <c r="F564" s="2" t="s">
        <v>43</v>
      </c>
      <c r="G564" s="2" t="s">
        <v>132</v>
      </c>
      <c r="H564">
        <v>1</v>
      </c>
      <c r="I564">
        <v>2</v>
      </c>
      <c r="J564">
        <v>107.04</v>
      </c>
      <c r="K564">
        <v>0</v>
      </c>
      <c r="L564">
        <v>54</v>
      </c>
      <c r="M564">
        <v>214.08</v>
      </c>
      <c r="N564">
        <v>214.08</v>
      </c>
      <c r="O564">
        <v>108</v>
      </c>
      <c r="P564">
        <v>106.08000000000001</v>
      </c>
    </row>
    <row r="565" spans="1:16" x14ac:dyDescent="0.3">
      <c r="A565" s="1">
        <v>45778</v>
      </c>
      <c r="B565" s="2" t="s">
        <v>65</v>
      </c>
      <c r="C565" s="2" t="s">
        <v>66</v>
      </c>
      <c r="D565" s="2" t="s">
        <v>41</v>
      </c>
      <c r="E565" s="2" t="s">
        <v>51</v>
      </c>
      <c r="F565" s="2" t="s">
        <v>52</v>
      </c>
      <c r="G565" s="2" t="s">
        <v>68</v>
      </c>
      <c r="H565">
        <v>1</v>
      </c>
      <c r="I565">
        <v>6</v>
      </c>
      <c r="J565">
        <v>199.14</v>
      </c>
      <c r="K565">
        <v>0</v>
      </c>
      <c r="L565">
        <v>124</v>
      </c>
      <c r="M565">
        <v>1194.8399999999999</v>
      </c>
      <c r="N565">
        <v>1194.8399999999999</v>
      </c>
      <c r="O565">
        <v>744</v>
      </c>
      <c r="P565">
        <v>450.83999999999992</v>
      </c>
    </row>
    <row r="566" spans="1:16" x14ac:dyDescent="0.3">
      <c r="A566" s="1">
        <v>45778</v>
      </c>
      <c r="B566" s="2" t="s">
        <v>39</v>
      </c>
      <c r="C566" s="2" t="s">
        <v>40</v>
      </c>
      <c r="D566" s="2" t="s">
        <v>41</v>
      </c>
      <c r="E566" s="2" t="s">
        <v>42</v>
      </c>
      <c r="F566" s="2" t="s">
        <v>43</v>
      </c>
      <c r="G566" s="2" t="s">
        <v>137</v>
      </c>
      <c r="H566">
        <v>1</v>
      </c>
      <c r="I566">
        <v>3</v>
      </c>
      <c r="J566">
        <v>621.12</v>
      </c>
      <c r="K566">
        <v>0</v>
      </c>
      <c r="L566">
        <v>395</v>
      </c>
      <c r="M566">
        <v>1863.3600000000001</v>
      </c>
      <c r="N566">
        <v>1863.3600000000001</v>
      </c>
      <c r="O566">
        <v>1185</v>
      </c>
      <c r="P566">
        <v>678.36000000000013</v>
      </c>
    </row>
    <row r="567" spans="1:16" x14ac:dyDescent="0.3">
      <c r="A567" s="1">
        <v>45778</v>
      </c>
      <c r="B567" s="2" t="s">
        <v>39</v>
      </c>
      <c r="C567" s="2" t="s">
        <v>40</v>
      </c>
      <c r="D567" s="2" t="s">
        <v>41</v>
      </c>
      <c r="E567" s="2" t="s">
        <v>42</v>
      </c>
      <c r="F567" s="2" t="s">
        <v>48</v>
      </c>
      <c r="G567" s="2" t="s">
        <v>137</v>
      </c>
      <c r="H567">
        <v>1</v>
      </c>
      <c r="I567">
        <v>4</v>
      </c>
      <c r="J567">
        <v>23.18</v>
      </c>
      <c r="K567">
        <v>0</v>
      </c>
      <c r="L567">
        <v>8</v>
      </c>
      <c r="M567">
        <v>92.72</v>
      </c>
      <c r="N567">
        <v>92.72</v>
      </c>
      <c r="O567">
        <v>32</v>
      </c>
      <c r="P567">
        <v>60.72</v>
      </c>
    </row>
    <row r="568" spans="1:16" x14ac:dyDescent="0.3">
      <c r="A568" s="1">
        <v>45778</v>
      </c>
      <c r="B568" s="2" t="s">
        <v>39</v>
      </c>
      <c r="C568" s="2" t="s">
        <v>88</v>
      </c>
      <c r="D568" s="2" t="s">
        <v>46</v>
      </c>
      <c r="E568" s="2" t="s">
        <v>42</v>
      </c>
      <c r="F568" s="2" t="s">
        <v>43</v>
      </c>
      <c r="G568" s="2" t="s">
        <v>210</v>
      </c>
      <c r="H568">
        <v>1</v>
      </c>
      <c r="I568">
        <v>1</v>
      </c>
      <c r="J568">
        <v>854.54</v>
      </c>
      <c r="K568">
        <v>0.15</v>
      </c>
      <c r="L568">
        <v>520</v>
      </c>
      <c r="M568">
        <v>854.54</v>
      </c>
      <c r="N568">
        <v>726.35899999999992</v>
      </c>
      <c r="O568">
        <v>520</v>
      </c>
      <c r="P568">
        <v>206.35899999999992</v>
      </c>
    </row>
    <row r="569" spans="1:16" x14ac:dyDescent="0.3">
      <c r="A569" s="1">
        <v>45778</v>
      </c>
      <c r="B569" s="2" t="s">
        <v>83</v>
      </c>
      <c r="C569" s="2" t="s">
        <v>126</v>
      </c>
      <c r="D569" s="2" t="s">
        <v>46</v>
      </c>
      <c r="E569" s="2" t="s">
        <v>42</v>
      </c>
      <c r="F569" s="2" t="s">
        <v>48</v>
      </c>
      <c r="G569" s="2" t="s">
        <v>127</v>
      </c>
      <c r="H569">
        <v>1</v>
      </c>
      <c r="I569">
        <v>4</v>
      </c>
      <c r="J569">
        <v>24.06</v>
      </c>
      <c r="K569">
        <v>0.05</v>
      </c>
      <c r="L569">
        <v>8</v>
      </c>
      <c r="M569">
        <v>96.24</v>
      </c>
      <c r="N569">
        <v>91.427999999999997</v>
      </c>
      <c r="O569">
        <v>32</v>
      </c>
      <c r="P569">
        <v>59.427999999999997</v>
      </c>
    </row>
    <row r="570" spans="1:16" x14ac:dyDescent="0.3">
      <c r="A570" s="1">
        <v>45778</v>
      </c>
      <c r="B570" s="2" t="s">
        <v>56</v>
      </c>
      <c r="C570" s="2" t="s">
        <v>72</v>
      </c>
      <c r="D570" s="2" t="s">
        <v>46</v>
      </c>
      <c r="E570" s="2" t="s">
        <v>47</v>
      </c>
      <c r="F570" s="2" t="s">
        <v>43</v>
      </c>
      <c r="G570" s="2" t="s">
        <v>199</v>
      </c>
      <c r="H570">
        <v>1</v>
      </c>
      <c r="I570">
        <v>2</v>
      </c>
      <c r="J570">
        <v>293.25</v>
      </c>
      <c r="K570">
        <v>0.1</v>
      </c>
      <c r="L570">
        <v>182</v>
      </c>
      <c r="M570">
        <v>586.5</v>
      </c>
      <c r="N570">
        <v>527.85</v>
      </c>
      <c r="O570">
        <v>364</v>
      </c>
      <c r="P570">
        <v>163.85000000000002</v>
      </c>
    </row>
    <row r="571" spans="1:16" x14ac:dyDescent="0.3">
      <c r="A571" s="1">
        <v>45778</v>
      </c>
      <c r="B571" s="2" t="s">
        <v>65</v>
      </c>
      <c r="C571" s="2" t="s">
        <v>66</v>
      </c>
      <c r="D571" s="2" t="s">
        <v>41</v>
      </c>
      <c r="E571" s="2" t="s">
        <v>51</v>
      </c>
      <c r="F571" s="2" t="s">
        <v>43</v>
      </c>
      <c r="G571" s="2" t="s">
        <v>68</v>
      </c>
      <c r="H571">
        <v>1</v>
      </c>
      <c r="I571">
        <v>8</v>
      </c>
      <c r="J571">
        <v>576.70000000000005</v>
      </c>
      <c r="K571">
        <v>0</v>
      </c>
      <c r="L571">
        <v>395</v>
      </c>
      <c r="M571">
        <v>4613.6000000000004</v>
      </c>
      <c r="N571">
        <v>4613.6000000000004</v>
      </c>
      <c r="O571">
        <v>3160</v>
      </c>
      <c r="P571">
        <v>1453.6000000000004</v>
      </c>
    </row>
    <row r="572" spans="1:16" x14ac:dyDescent="0.3">
      <c r="A572" s="1">
        <v>45778</v>
      </c>
      <c r="B572" s="2" t="s">
        <v>56</v>
      </c>
      <c r="C572" s="2" t="s">
        <v>57</v>
      </c>
      <c r="D572" s="2" t="s">
        <v>50</v>
      </c>
      <c r="E572" s="2" t="s">
        <v>51</v>
      </c>
      <c r="F572" s="2" t="s">
        <v>43</v>
      </c>
      <c r="G572" s="2" t="s">
        <v>121</v>
      </c>
      <c r="H572">
        <v>1</v>
      </c>
      <c r="I572">
        <v>8</v>
      </c>
      <c r="J572">
        <v>100.41</v>
      </c>
      <c r="K572">
        <v>0.12</v>
      </c>
      <c r="L572">
        <v>54</v>
      </c>
      <c r="M572">
        <v>803.28</v>
      </c>
      <c r="N572">
        <v>706.88639999999998</v>
      </c>
      <c r="O572">
        <v>432</v>
      </c>
      <c r="P572">
        <v>274.88639999999998</v>
      </c>
    </row>
    <row r="573" spans="1:16" x14ac:dyDescent="0.3">
      <c r="A573" s="1">
        <v>45778</v>
      </c>
      <c r="B573" s="2" t="s">
        <v>65</v>
      </c>
      <c r="C573" s="2" t="s">
        <v>134</v>
      </c>
      <c r="D573" s="2" t="s">
        <v>41</v>
      </c>
      <c r="E573" s="2" t="s">
        <v>51</v>
      </c>
      <c r="F573" s="2" t="s">
        <v>43</v>
      </c>
      <c r="G573" s="2" t="s">
        <v>135</v>
      </c>
      <c r="H573">
        <v>1</v>
      </c>
      <c r="I573">
        <v>3</v>
      </c>
      <c r="J573">
        <v>158.99</v>
      </c>
      <c r="K573">
        <v>0</v>
      </c>
      <c r="L573">
        <v>86</v>
      </c>
      <c r="M573">
        <v>476.97</v>
      </c>
      <c r="N573">
        <v>476.97</v>
      </c>
      <c r="O573">
        <v>258</v>
      </c>
      <c r="P573">
        <v>218.97000000000003</v>
      </c>
    </row>
    <row r="574" spans="1:16" x14ac:dyDescent="0.3">
      <c r="A574" s="1">
        <v>45778</v>
      </c>
      <c r="B574" s="2" t="s">
        <v>39</v>
      </c>
      <c r="C574" s="2" t="s">
        <v>88</v>
      </c>
      <c r="D574" s="2" t="s">
        <v>46</v>
      </c>
      <c r="E574" s="2" t="s">
        <v>42</v>
      </c>
      <c r="F574" s="2" t="s">
        <v>43</v>
      </c>
      <c r="G574" s="2" t="s">
        <v>105</v>
      </c>
      <c r="H574">
        <v>1</v>
      </c>
      <c r="I574">
        <v>3</v>
      </c>
      <c r="J574">
        <v>297.01</v>
      </c>
      <c r="K574">
        <v>0.05</v>
      </c>
      <c r="L574">
        <v>182</v>
      </c>
      <c r="M574">
        <v>891.03</v>
      </c>
      <c r="N574">
        <v>846.47849999999994</v>
      </c>
      <c r="O574">
        <v>546</v>
      </c>
      <c r="P574">
        <v>300.47849999999994</v>
      </c>
    </row>
    <row r="575" spans="1:16" x14ac:dyDescent="0.3">
      <c r="A575" s="1">
        <v>45778</v>
      </c>
      <c r="B575" s="2" t="s">
        <v>39</v>
      </c>
      <c r="C575" s="2" t="s">
        <v>92</v>
      </c>
      <c r="D575" s="2" t="s">
        <v>46</v>
      </c>
      <c r="E575" s="2" t="s">
        <v>42</v>
      </c>
      <c r="F575" s="2" t="s">
        <v>48</v>
      </c>
      <c r="G575" s="2" t="s">
        <v>169</v>
      </c>
      <c r="H575">
        <v>1</v>
      </c>
      <c r="I575">
        <v>2</v>
      </c>
      <c r="J575">
        <v>96.86</v>
      </c>
      <c r="K575">
        <v>0.05</v>
      </c>
      <c r="L575">
        <v>39</v>
      </c>
      <c r="M575">
        <v>193.72</v>
      </c>
      <c r="N575">
        <v>184.03399999999999</v>
      </c>
      <c r="O575">
        <v>78</v>
      </c>
      <c r="P575">
        <v>106.03399999999999</v>
      </c>
    </row>
    <row r="576" spans="1:16" x14ac:dyDescent="0.3">
      <c r="A576" s="1">
        <v>45778</v>
      </c>
      <c r="B576" s="2" t="s">
        <v>39</v>
      </c>
      <c r="C576" s="2" t="s">
        <v>92</v>
      </c>
      <c r="D576" s="2" t="s">
        <v>46</v>
      </c>
      <c r="E576" s="2" t="s">
        <v>42</v>
      </c>
      <c r="F576" s="2" t="s">
        <v>43</v>
      </c>
      <c r="G576" s="2" t="s">
        <v>169</v>
      </c>
      <c r="H576">
        <v>1</v>
      </c>
      <c r="I576">
        <v>1</v>
      </c>
      <c r="J576">
        <v>843.82</v>
      </c>
      <c r="K576">
        <v>0.12</v>
      </c>
      <c r="L576">
        <v>520</v>
      </c>
      <c r="M576">
        <v>843.82</v>
      </c>
      <c r="N576">
        <v>742.5616</v>
      </c>
      <c r="O576">
        <v>520</v>
      </c>
      <c r="P576">
        <v>222.5616</v>
      </c>
    </row>
    <row r="577" spans="1:16" x14ac:dyDescent="0.3">
      <c r="A577" s="1">
        <v>45778</v>
      </c>
      <c r="B577" s="2" t="s">
        <v>65</v>
      </c>
      <c r="C577" s="2" t="s">
        <v>66</v>
      </c>
      <c r="D577" s="2" t="s">
        <v>50</v>
      </c>
      <c r="E577" s="2" t="s">
        <v>47</v>
      </c>
      <c r="F577" s="2" t="s">
        <v>52</v>
      </c>
      <c r="G577" s="2" t="s">
        <v>103</v>
      </c>
      <c r="H577">
        <v>1</v>
      </c>
      <c r="I577">
        <v>3</v>
      </c>
      <c r="J577">
        <v>213.62</v>
      </c>
      <c r="K577">
        <v>0.08</v>
      </c>
      <c r="L577">
        <v>124</v>
      </c>
      <c r="M577">
        <v>640.86</v>
      </c>
      <c r="N577">
        <v>589.59120000000007</v>
      </c>
      <c r="O577">
        <v>372</v>
      </c>
      <c r="P577">
        <v>217.59120000000007</v>
      </c>
    </row>
    <row r="578" spans="1:16" x14ac:dyDescent="0.3">
      <c r="A578" s="1">
        <v>45778</v>
      </c>
      <c r="B578" s="2" t="s">
        <v>65</v>
      </c>
      <c r="C578" s="2" t="s">
        <v>66</v>
      </c>
      <c r="D578" s="2" t="s">
        <v>50</v>
      </c>
      <c r="E578" s="2" t="s">
        <v>47</v>
      </c>
      <c r="F578" s="2" t="s">
        <v>48</v>
      </c>
      <c r="G578" s="2" t="s">
        <v>103</v>
      </c>
      <c r="H578">
        <v>2</v>
      </c>
      <c r="I578">
        <v>5</v>
      </c>
      <c r="J578">
        <v>80.549999999999983</v>
      </c>
      <c r="K578">
        <v>0.08</v>
      </c>
      <c r="L578">
        <v>35.5</v>
      </c>
      <c r="M578">
        <v>346.40999999999997</v>
      </c>
      <c r="N578">
        <v>318.69719999999995</v>
      </c>
      <c r="O578">
        <v>150</v>
      </c>
      <c r="P578">
        <v>168.69719999999995</v>
      </c>
    </row>
    <row r="579" spans="1:16" x14ac:dyDescent="0.3">
      <c r="A579" s="1">
        <v>45778</v>
      </c>
      <c r="B579" s="2" t="s">
        <v>56</v>
      </c>
      <c r="C579" s="2" t="s">
        <v>57</v>
      </c>
      <c r="D579" s="2" t="s">
        <v>46</v>
      </c>
      <c r="E579" s="2" t="s">
        <v>42</v>
      </c>
      <c r="F579" s="2" t="s">
        <v>43</v>
      </c>
      <c r="G579" s="2" t="s">
        <v>219</v>
      </c>
      <c r="H579">
        <v>1</v>
      </c>
      <c r="I579">
        <v>3</v>
      </c>
      <c r="J579">
        <v>1174.3499999999999</v>
      </c>
      <c r="K579">
        <v>0.1</v>
      </c>
      <c r="L579">
        <v>760</v>
      </c>
      <c r="M579">
        <v>3523.0499999999997</v>
      </c>
      <c r="N579">
        <v>3170.7449999999999</v>
      </c>
      <c r="O579">
        <v>2280</v>
      </c>
      <c r="P579">
        <v>890.74499999999989</v>
      </c>
    </row>
    <row r="580" spans="1:16" x14ac:dyDescent="0.3">
      <c r="A580" s="1">
        <v>45778</v>
      </c>
      <c r="B580" s="2" t="s">
        <v>56</v>
      </c>
      <c r="C580" s="2" t="s">
        <v>62</v>
      </c>
      <c r="D580" s="2" t="s">
        <v>41</v>
      </c>
      <c r="E580" s="2" t="s">
        <v>42</v>
      </c>
      <c r="F580" s="2" t="s">
        <v>43</v>
      </c>
      <c r="G580" s="2" t="s">
        <v>161</v>
      </c>
      <c r="H580">
        <v>2</v>
      </c>
      <c r="I580">
        <v>5</v>
      </c>
      <c r="J580">
        <v>720.31999999999994</v>
      </c>
      <c r="K580">
        <v>0</v>
      </c>
      <c r="L580">
        <v>457.5</v>
      </c>
      <c r="M580">
        <v>3697.8</v>
      </c>
      <c r="N580">
        <v>3697.8</v>
      </c>
      <c r="O580">
        <v>2350</v>
      </c>
      <c r="P580">
        <v>1347.8</v>
      </c>
    </row>
    <row r="581" spans="1:16" x14ac:dyDescent="0.3">
      <c r="A581" s="1">
        <v>45778</v>
      </c>
      <c r="B581" s="2" t="s">
        <v>39</v>
      </c>
      <c r="C581" s="2" t="s">
        <v>88</v>
      </c>
      <c r="D581" s="2" t="s">
        <v>41</v>
      </c>
      <c r="E581" s="2" t="s">
        <v>47</v>
      </c>
      <c r="F581" s="2" t="s">
        <v>43</v>
      </c>
      <c r="G581" s="2" t="s">
        <v>117</v>
      </c>
      <c r="H581">
        <v>1</v>
      </c>
      <c r="I581">
        <v>4</v>
      </c>
      <c r="J581">
        <v>294.36</v>
      </c>
      <c r="K581">
        <v>0.1</v>
      </c>
      <c r="L581">
        <v>182</v>
      </c>
      <c r="M581">
        <v>1177.44</v>
      </c>
      <c r="N581">
        <v>1059.6960000000001</v>
      </c>
      <c r="O581">
        <v>728</v>
      </c>
      <c r="P581">
        <v>331.69600000000014</v>
      </c>
    </row>
    <row r="582" spans="1:16" x14ac:dyDescent="0.3">
      <c r="A582" s="1">
        <v>45778</v>
      </c>
      <c r="B582" s="2" t="s">
        <v>75</v>
      </c>
      <c r="C582" s="2" t="s">
        <v>101</v>
      </c>
      <c r="D582" s="2" t="s">
        <v>50</v>
      </c>
      <c r="E582" s="2" t="s">
        <v>47</v>
      </c>
      <c r="F582" s="2" t="s">
        <v>43</v>
      </c>
      <c r="G582" s="2" t="s">
        <v>162</v>
      </c>
      <c r="H582">
        <v>1</v>
      </c>
      <c r="I582">
        <v>1</v>
      </c>
      <c r="J582">
        <v>302.52</v>
      </c>
      <c r="K582">
        <v>0.1</v>
      </c>
      <c r="L582">
        <v>182</v>
      </c>
      <c r="M582">
        <v>302.52</v>
      </c>
      <c r="N582">
        <v>272.26799999999997</v>
      </c>
      <c r="O582">
        <v>182</v>
      </c>
      <c r="P582">
        <v>90.267999999999972</v>
      </c>
    </row>
    <row r="583" spans="1:16" x14ac:dyDescent="0.3">
      <c r="A583" s="1">
        <v>45778</v>
      </c>
      <c r="B583" s="2" t="s">
        <v>39</v>
      </c>
      <c r="C583" s="2" t="s">
        <v>92</v>
      </c>
      <c r="D583" s="2" t="s">
        <v>41</v>
      </c>
      <c r="E583" s="2" t="s">
        <v>47</v>
      </c>
      <c r="F583" s="2" t="s">
        <v>48</v>
      </c>
      <c r="G583" s="2" t="s">
        <v>187</v>
      </c>
      <c r="H583">
        <v>3</v>
      </c>
      <c r="I583">
        <v>11</v>
      </c>
      <c r="J583">
        <v>61.923333333333332</v>
      </c>
      <c r="K583">
        <v>3.3333333333333333E-2</v>
      </c>
      <c r="L583">
        <v>26.333333333333332</v>
      </c>
      <c r="M583">
        <v>379.03999999999996</v>
      </c>
      <c r="N583">
        <v>365.30799999999999</v>
      </c>
      <c r="O583">
        <v>143</v>
      </c>
      <c r="P583">
        <v>222.30799999999996</v>
      </c>
    </row>
    <row r="584" spans="1:16" x14ac:dyDescent="0.3">
      <c r="A584" s="1">
        <v>45778</v>
      </c>
      <c r="B584" s="2" t="s">
        <v>39</v>
      </c>
      <c r="C584" s="2" t="s">
        <v>45</v>
      </c>
      <c r="D584" s="2" t="s">
        <v>41</v>
      </c>
      <c r="E584" s="2" t="s">
        <v>51</v>
      </c>
      <c r="F584" s="2" t="s">
        <v>43</v>
      </c>
      <c r="G584" s="2" t="s">
        <v>183</v>
      </c>
      <c r="H584">
        <v>1</v>
      </c>
      <c r="I584">
        <v>11</v>
      </c>
      <c r="J584">
        <v>96.62</v>
      </c>
      <c r="K584">
        <v>0</v>
      </c>
      <c r="L584">
        <v>54</v>
      </c>
      <c r="M584">
        <v>1062.8200000000002</v>
      </c>
      <c r="N584">
        <v>1062.8200000000002</v>
      </c>
      <c r="O584">
        <v>594</v>
      </c>
      <c r="P584">
        <v>468.82000000000016</v>
      </c>
    </row>
    <row r="585" spans="1:16" x14ac:dyDescent="0.3">
      <c r="A585" s="1">
        <v>45778</v>
      </c>
      <c r="B585" s="2" t="s">
        <v>39</v>
      </c>
      <c r="C585" s="2" t="s">
        <v>88</v>
      </c>
      <c r="D585" s="2" t="s">
        <v>41</v>
      </c>
      <c r="E585" s="2" t="s">
        <v>47</v>
      </c>
      <c r="F585" s="2" t="s">
        <v>48</v>
      </c>
      <c r="G585" s="2" t="s">
        <v>117</v>
      </c>
      <c r="H585">
        <v>1</v>
      </c>
      <c r="I585">
        <v>4</v>
      </c>
      <c r="J585">
        <v>24.96</v>
      </c>
      <c r="K585">
        <v>0</v>
      </c>
      <c r="L585">
        <v>8</v>
      </c>
      <c r="M585">
        <v>99.84</v>
      </c>
      <c r="N585">
        <v>99.84</v>
      </c>
      <c r="O585">
        <v>32</v>
      </c>
      <c r="P585">
        <v>67.84</v>
      </c>
    </row>
    <row r="586" spans="1:16" x14ac:dyDescent="0.3">
      <c r="A586" s="1">
        <v>45778</v>
      </c>
      <c r="B586" s="2" t="s">
        <v>83</v>
      </c>
      <c r="C586" s="2" t="s">
        <v>84</v>
      </c>
      <c r="D586" s="2" t="s">
        <v>46</v>
      </c>
      <c r="E586" s="2" t="s">
        <v>42</v>
      </c>
      <c r="F586" s="2" t="s">
        <v>52</v>
      </c>
      <c r="G586" s="2" t="s">
        <v>90</v>
      </c>
      <c r="H586">
        <v>1</v>
      </c>
      <c r="I586">
        <v>1</v>
      </c>
      <c r="J586">
        <v>42.82</v>
      </c>
      <c r="K586">
        <v>0.08</v>
      </c>
      <c r="L586">
        <v>18</v>
      </c>
      <c r="M586">
        <v>42.82</v>
      </c>
      <c r="N586">
        <v>39.394400000000005</v>
      </c>
      <c r="O586">
        <v>18</v>
      </c>
      <c r="P586">
        <v>21.394400000000005</v>
      </c>
    </row>
    <row r="587" spans="1:16" x14ac:dyDescent="0.3">
      <c r="A587" s="1">
        <v>45778</v>
      </c>
      <c r="B587" s="2" t="s">
        <v>39</v>
      </c>
      <c r="C587" s="2" t="s">
        <v>45</v>
      </c>
      <c r="D587" s="2" t="s">
        <v>41</v>
      </c>
      <c r="E587" s="2" t="s">
        <v>42</v>
      </c>
      <c r="F587" s="2" t="s">
        <v>43</v>
      </c>
      <c r="G587" s="2" t="s">
        <v>94</v>
      </c>
      <c r="H587">
        <v>2</v>
      </c>
      <c r="I587">
        <v>6</v>
      </c>
      <c r="J587">
        <v>564.96</v>
      </c>
      <c r="K587">
        <v>0</v>
      </c>
      <c r="L587">
        <v>351</v>
      </c>
      <c r="M587">
        <v>3389.76</v>
      </c>
      <c r="N587">
        <v>3389.76</v>
      </c>
      <c r="O587">
        <v>2106</v>
      </c>
      <c r="P587">
        <v>1283.7600000000002</v>
      </c>
    </row>
    <row r="588" spans="1:16" x14ac:dyDescent="0.3">
      <c r="A588" s="1">
        <v>45778</v>
      </c>
      <c r="B588" s="2" t="s">
        <v>56</v>
      </c>
      <c r="C588" s="2" t="s">
        <v>57</v>
      </c>
      <c r="D588" s="2" t="s">
        <v>50</v>
      </c>
      <c r="E588" s="2" t="s">
        <v>42</v>
      </c>
      <c r="F588" s="2" t="s">
        <v>43</v>
      </c>
      <c r="G588" s="2" t="s">
        <v>100</v>
      </c>
      <c r="H588">
        <v>1</v>
      </c>
      <c r="I588">
        <v>3</v>
      </c>
      <c r="J588">
        <v>1168.5999999999999</v>
      </c>
      <c r="K588">
        <v>0.05</v>
      </c>
      <c r="L588">
        <v>760</v>
      </c>
      <c r="M588">
        <v>3505.7999999999997</v>
      </c>
      <c r="N588">
        <v>3330.5099999999998</v>
      </c>
      <c r="O588">
        <v>2280</v>
      </c>
      <c r="P588">
        <v>1050.5099999999998</v>
      </c>
    </row>
    <row r="589" spans="1:16" x14ac:dyDescent="0.3">
      <c r="A589" s="1">
        <v>45778</v>
      </c>
      <c r="B589" s="2" t="s">
        <v>56</v>
      </c>
      <c r="C589" s="2" t="s">
        <v>62</v>
      </c>
      <c r="D589" s="2" t="s">
        <v>50</v>
      </c>
      <c r="E589" s="2" t="s">
        <v>42</v>
      </c>
      <c r="F589" s="2" t="s">
        <v>43</v>
      </c>
      <c r="G589" s="2" t="s">
        <v>139</v>
      </c>
      <c r="H589">
        <v>1</v>
      </c>
      <c r="I589">
        <v>2</v>
      </c>
      <c r="J589">
        <v>593.17999999999995</v>
      </c>
      <c r="K589">
        <v>0.08</v>
      </c>
      <c r="L589">
        <v>395</v>
      </c>
      <c r="M589">
        <v>1186.3599999999999</v>
      </c>
      <c r="N589">
        <v>1091.4512</v>
      </c>
      <c r="O589">
        <v>790</v>
      </c>
      <c r="P589">
        <v>301.45119999999997</v>
      </c>
    </row>
    <row r="590" spans="1:16" x14ac:dyDescent="0.3">
      <c r="A590" s="1">
        <v>45778</v>
      </c>
      <c r="B590" s="2" t="s">
        <v>39</v>
      </c>
      <c r="C590" s="2" t="s">
        <v>40</v>
      </c>
      <c r="D590" s="2" t="s">
        <v>50</v>
      </c>
      <c r="E590" s="2" t="s">
        <v>42</v>
      </c>
      <c r="F590" s="2" t="s">
        <v>43</v>
      </c>
      <c r="G590" s="2" t="s">
        <v>205</v>
      </c>
      <c r="H590">
        <v>1</v>
      </c>
      <c r="I590">
        <v>1</v>
      </c>
      <c r="J590">
        <v>596.22</v>
      </c>
      <c r="K590">
        <v>0.05</v>
      </c>
      <c r="L590">
        <v>395</v>
      </c>
      <c r="M590">
        <v>596.22</v>
      </c>
      <c r="N590">
        <v>566.40899999999999</v>
      </c>
      <c r="O590">
        <v>395</v>
      </c>
      <c r="P590">
        <v>171.40899999999999</v>
      </c>
    </row>
    <row r="591" spans="1:16" x14ac:dyDescent="0.3">
      <c r="A591" s="1">
        <v>45778</v>
      </c>
      <c r="B591" s="2" t="s">
        <v>39</v>
      </c>
      <c r="C591" s="2" t="s">
        <v>88</v>
      </c>
      <c r="D591" s="2" t="s">
        <v>95</v>
      </c>
      <c r="E591" s="2" t="s">
        <v>42</v>
      </c>
      <c r="F591" s="2" t="s">
        <v>48</v>
      </c>
      <c r="G591" s="2" t="s">
        <v>204</v>
      </c>
      <c r="H591">
        <v>1</v>
      </c>
      <c r="I591">
        <v>3</v>
      </c>
      <c r="J591">
        <v>93.81</v>
      </c>
      <c r="K591">
        <v>0.05</v>
      </c>
      <c r="L591">
        <v>39</v>
      </c>
      <c r="M591">
        <v>281.43</v>
      </c>
      <c r="N591">
        <v>267.35849999999999</v>
      </c>
      <c r="O591">
        <v>117</v>
      </c>
      <c r="P591">
        <v>150.35849999999999</v>
      </c>
    </row>
    <row r="592" spans="1:16" x14ac:dyDescent="0.3">
      <c r="A592" s="1">
        <v>45778</v>
      </c>
      <c r="B592" s="2" t="s">
        <v>39</v>
      </c>
      <c r="C592" s="2" t="s">
        <v>40</v>
      </c>
      <c r="D592" s="2" t="s">
        <v>41</v>
      </c>
      <c r="E592" s="2" t="s">
        <v>51</v>
      </c>
      <c r="F592" s="2" t="s">
        <v>52</v>
      </c>
      <c r="G592" s="2" t="s">
        <v>189</v>
      </c>
      <c r="H592">
        <v>1</v>
      </c>
      <c r="I592">
        <v>13</v>
      </c>
      <c r="J592">
        <v>38.979999999999997</v>
      </c>
      <c r="K592">
        <v>0</v>
      </c>
      <c r="L592">
        <v>18</v>
      </c>
      <c r="M592">
        <v>506.73999999999995</v>
      </c>
      <c r="N592">
        <v>506.73999999999995</v>
      </c>
      <c r="O592">
        <v>234</v>
      </c>
      <c r="P592">
        <v>272.73999999999995</v>
      </c>
    </row>
    <row r="593" spans="1:16" x14ac:dyDescent="0.3">
      <c r="A593" s="1">
        <v>45778</v>
      </c>
      <c r="B593" s="2" t="s">
        <v>65</v>
      </c>
      <c r="C593" s="2" t="s">
        <v>134</v>
      </c>
      <c r="D593" s="2" t="s">
        <v>41</v>
      </c>
      <c r="E593" s="2" t="s">
        <v>42</v>
      </c>
      <c r="F593" s="2" t="s">
        <v>52</v>
      </c>
      <c r="G593" s="2" t="s">
        <v>135</v>
      </c>
      <c r="H593">
        <v>1</v>
      </c>
      <c r="I593">
        <v>2</v>
      </c>
      <c r="J593">
        <v>41.64</v>
      </c>
      <c r="K593">
        <v>0</v>
      </c>
      <c r="L593">
        <v>18</v>
      </c>
      <c r="M593">
        <v>83.28</v>
      </c>
      <c r="N593">
        <v>83.28</v>
      </c>
      <c r="O593">
        <v>36</v>
      </c>
      <c r="P593">
        <v>47.28</v>
      </c>
    </row>
    <row r="594" spans="1:16" x14ac:dyDescent="0.3">
      <c r="A594" s="1">
        <v>45778</v>
      </c>
      <c r="B594" s="2" t="s">
        <v>39</v>
      </c>
      <c r="C594" s="2" t="s">
        <v>40</v>
      </c>
      <c r="D594" s="2" t="s">
        <v>41</v>
      </c>
      <c r="E594" s="2" t="s">
        <v>51</v>
      </c>
      <c r="F594" s="2" t="s">
        <v>48</v>
      </c>
      <c r="G594" s="2" t="s">
        <v>215</v>
      </c>
      <c r="H594">
        <v>1</v>
      </c>
      <c r="I594">
        <v>12</v>
      </c>
      <c r="J594">
        <v>21.78</v>
      </c>
      <c r="K594">
        <v>0</v>
      </c>
      <c r="L594">
        <v>8</v>
      </c>
      <c r="M594">
        <v>261.36</v>
      </c>
      <c r="N594">
        <v>261.36</v>
      </c>
      <c r="O594">
        <v>96</v>
      </c>
      <c r="P594">
        <v>165.36</v>
      </c>
    </row>
    <row r="595" spans="1:16" x14ac:dyDescent="0.3">
      <c r="A595" s="1">
        <v>45778</v>
      </c>
      <c r="B595" s="2" t="s">
        <v>39</v>
      </c>
      <c r="C595" s="2" t="s">
        <v>40</v>
      </c>
      <c r="D595" s="2" t="s">
        <v>41</v>
      </c>
      <c r="E595" s="2" t="s">
        <v>51</v>
      </c>
      <c r="F595" s="2" t="s">
        <v>52</v>
      </c>
      <c r="G595" s="2" t="s">
        <v>215</v>
      </c>
      <c r="H595">
        <v>1</v>
      </c>
      <c r="I595">
        <v>9</v>
      </c>
      <c r="J595">
        <v>38.840000000000003</v>
      </c>
      <c r="K595">
        <v>0</v>
      </c>
      <c r="L595">
        <v>18</v>
      </c>
      <c r="M595">
        <v>349.56000000000006</v>
      </c>
      <c r="N595">
        <v>349.56000000000006</v>
      </c>
      <c r="O595">
        <v>162</v>
      </c>
      <c r="P595">
        <v>187.56000000000006</v>
      </c>
    </row>
    <row r="596" spans="1:16" x14ac:dyDescent="0.3">
      <c r="A596" s="1">
        <v>45778</v>
      </c>
      <c r="B596" s="2" t="s">
        <v>39</v>
      </c>
      <c r="C596" s="2" t="s">
        <v>45</v>
      </c>
      <c r="D596" s="2" t="s">
        <v>41</v>
      </c>
      <c r="E596" s="2" t="s">
        <v>51</v>
      </c>
      <c r="F596" s="2" t="s">
        <v>43</v>
      </c>
      <c r="G596" s="2" t="s">
        <v>201</v>
      </c>
      <c r="H596">
        <v>1</v>
      </c>
      <c r="I596">
        <v>7</v>
      </c>
      <c r="J596">
        <v>730.76</v>
      </c>
      <c r="K596">
        <v>0.05</v>
      </c>
      <c r="L596">
        <v>520</v>
      </c>
      <c r="M596">
        <v>5115.32</v>
      </c>
      <c r="N596">
        <v>4859.5539999999992</v>
      </c>
      <c r="O596">
        <v>3640</v>
      </c>
      <c r="P596">
        <v>1219.5539999999992</v>
      </c>
    </row>
    <row r="597" spans="1:16" x14ac:dyDescent="0.3">
      <c r="A597" s="1">
        <v>45778</v>
      </c>
      <c r="B597" s="2" t="s">
        <v>39</v>
      </c>
      <c r="C597" s="2" t="s">
        <v>78</v>
      </c>
      <c r="D597" s="2" t="s">
        <v>46</v>
      </c>
      <c r="E597" s="2" t="s">
        <v>51</v>
      </c>
      <c r="F597" s="2" t="s">
        <v>48</v>
      </c>
      <c r="G597" s="2" t="s">
        <v>79</v>
      </c>
      <c r="H597">
        <v>1</v>
      </c>
      <c r="I597">
        <v>1</v>
      </c>
      <c r="J597">
        <v>68.17</v>
      </c>
      <c r="K597">
        <v>0.05</v>
      </c>
      <c r="L597">
        <v>31</v>
      </c>
      <c r="M597">
        <v>68.17</v>
      </c>
      <c r="N597">
        <v>64.761499999999998</v>
      </c>
      <c r="O597">
        <v>31</v>
      </c>
      <c r="P597">
        <v>33.761499999999998</v>
      </c>
    </row>
    <row r="598" spans="1:16" x14ac:dyDescent="0.3">
      <c r="A598" s="1">
        <v>45778</v>
      </c>
      <c r="B598" s="2" t="s">
        <v>39</v>
      </c>
      <c r="C598" s="2" t="s">
        <v>40</v>
      </c>
      <c r="D598" s="2" t="s">
        <v>41</v>
      </c>
      <c r="E598" s="2" t="s">
        <v>47</v>
      </c>
      <c r="F598" s="2" t="s">
        <v>48</v>
      </c>
      <c r="G598" s="2" t="s">
        <v>113</v>
      </c>
      <c r="H598">
        <v>1</v>
      </c>
      <c r="I598">
        <v>4</v>
      </c>
      <c r="J598">
        <v>72.63</v>
      </c>
      <c r="K598">
        <v>0</v>
      </c>
      <c r="L598">
        <v>31</v>
      </c>
      <c r="M598">
        <v>290.52</v>
      </c>
      <c r="N598">
        <v>290.52</v>
      </c>
      <c r="O598">
        <v>124</v>
      </c>
      <c r="P598">
        <v>166.51999999999998</v>
      </c>
    </row>
    <row r="599" spans="1:16" x14ac:dyDescent="0.3">
      <c r="A599" s="1">
        <v>45778</v>
      </c>
      <c r="B599" s="2" t="s">
        <v>39</v>
      </c>
      <c r="C599" s="2" t="s">
        <v>40</v>
      </c>
      <c r="D599" s="2" t="s">
        <v>46</v>
      </c>
      <c r="E599" s="2" t="s">
        <v>42</v>
      </c>
      <c r="F599" s="2" t="s">
        <v>43</v>
      </c>
      <c r="G599" s="2" t="s">
        <v>167</v>
      </c>
      <c r="H599">
        <v>1</v>
      </c>
      <c r="I599">
        <v>1</v>
      </c>
      <c r="J599">
        <v>859.56</v>
      </c>
      <c r="K599">
        <v>0.12</v>
      </c>
      <c r="L599">
        <v>520</v>
      </c>
      <c r="M599">
        <v>859.56</v>
      </c>
      <c r="N599">
        <v>756.41279999999995</v>
      </c>
      <c r="O599">
        <v>520</v>
      </c>
      <c r="P599">
        <v>236.41279999999995</v>
      </c>
    </row>
    <row r="600" spans="1:16" x14ac:dyDescent="0.3">
      <c r="A600" s="1">
        <v>45778</v>
      </c>
      <c r="B600" s="2" t="s">
        <v>39</v>
      </c>
      <c r="C600" s="2" t="s">
        <v>88</v>
      </c>
      <c r="D600" s="2" t="s">
        <v>41</v>
      </c>
      <c r="E600" s="2" t="s">
        <v>42</v>
      </c>
      <c r="F600" s="2" t="s">
        <v>43</v>
      </c>
      <c r="G600" s="2" t="s">
        <v>224</v>
      </c>
      <c r="H600">
        <v>1</v>
      </c>
      <c r="I600">
        <v>1</v>
      </c>
      <c r="J600">
        <v>175.47</v>
      </c>
      <c r="K600">
        <v>0</v>
      </c>
      <c r="L600">
        <v>86</v>
      </c>
      <c r="M600">
        <v>175.47</v>
      </c>
      <c r="N600">
        <v>175.47</v>
      </c>
      <c r="O600">
        <v>86</v>
      </c>
      <c r="P600">
        <v>89.47</v>
      </c>
    </row>
    <row r="601" spans="1:16" x14ac:dyDescent="0.3">
      <c r="A601" s="1">
        <v>45778</v>
      </c>
      <c r="B601" s="2" t="s">
        <v>56</v>
      </c>
      <c r="C601" s="2" t="s">
        <v>57</v>
      </c>
      <c r="D601" s="2" t="s">
        <v>50</v>
      </c>
      <c r="E601" s="2" t="s">
        <v>51</v>
      </c>
      <c r="F601" s="2" t="s">
        <v>48</v>
      </c>
      <c r="G601" s="2" t="s">
        <v>60</v>
      </c>
      <c r="H601">
        <v>1</v>
      </c>
      <c r="I601">
        <v>21</v>
      </c>
      <c r="J601">
        <v>87.46</v>
      </c>
      <c r="K601">
        <v>0.05</v>
      </c>
      <c r="L601">
        <v>39</v>
      </c>
      <c r="M601">
        <v>1836.6599999999999</v>
      </c>
      <c r="N601">
        <v>1744.8269999999998</v>
      </c>
      <c r="O601">
        <v>819</v>
      </c>
      <c r="P601">
        <v>925.82699999999977</v>
      </c>
    </row>
    <row r="602" spans="1:16" x14ac:dyDescent="0.3">
      <c r="A602" s="1">
        <v>45778</v>
      </c>
      <c r="B602" s="2" t="s">
        <v>56</v>
      </c>
      <c r="C602" s="2" t="s">
        <v>62</v>
      </c>
      <c r="D602" s="2" t="s">
        <v>41</v>
      </c>
      <c r="E602" s="2" t="s">
        <v>47</v>
      </c>
      <c r="F602" s="2" t="s">
        <v>43</v>
      </c>
      <c r="G602" s="2" t="s">
        <v>143</v>
      </c>
      <c r="H602">
        <v>1</v>
      </c>
      <c r="I602">
        <v>2</v>
      </c>
      <c r="J602">
        <v>618.66999999999996</v>
      </c>
      <c r="K602">
        <v>0</v>
      </c>
      <c r="L602">
        <v>395</v>
      </c>
      <c r="M602">
        <v>1237.3399999999999</v>
      </c>
      <c r="N602">
        <v>1237.3399999999999</v>
      </c>
      <c r="O602">
        <v>790</v>
      </c>
      <c r="P602">
        <v>447.33999999999992</v>
      </c>
    </row>
    <row r="603" spans="1:16" x14ac:dyDescent="0.3">
      <c r="A603" s="1">
        <v>45778</v>
      </c>
      <c r="B603" s="2" t="s">
        <v>39</v>
      </c>
      <c r="C603" s="2" t="s">
        <v>40</v>
      </c>
      <c r="D603" s="2" t="s">
        <v>50</v>
      </c>
      <c r="E603" s="2" t="s">
        <v>42</v>
      </c>
      <c r="F603" s="2" t="s">
        <v>48</v>
      </c>
      <c r="G603" s="2" t="s">
        <v>103</v>
      </c>
      <c r="H603">
        <v>1</v>
      </c>
      <c r="I603">
        <v>3</v>
      </c>
      <c r="J603">
        <v>22.66</v>
      </c>
      <c r="K603">
        <v>0.08</v>
      </c>
      <c r="L603">
        <v>8</v>
      </c>
      <c r="M603">
        <v>67.98</v>
      </c>
      <c r="N603">
        <v>62.54160000000001</v>
      </c>
      <c r="O603">
        <v>24</v>
      </c>
      <c r="P603">
        <v>38.54160000000001</v>
      </c>
    </row>
    <row r="604" spans="1:16" x14ac:dyDescent="0.3">
      <c r="A604" s="1">
        <v>45778</v>
      </c>
      <c r="B604" s="2" t="s">
        <v>39</v>
      </c>
      <c r="C604" s="2" t="s">
        <v>78</v>
      </c>
      <c r="D604" s="2" t="s">
        <v>41</v>
      </c>
      <c r="E604" s="2" t="s">
        <v>47</v>
      </c>
      <c r="F604" s="2" t="s">
        <v>43</v>
      </c>
      <c r="G604" s="2" t="s">
        <v>119</v>
      </c>
      <c r="H604">
        <v>1</v>
      </c>
      <c r="I604">
        <v>2</v>
      </c>
      <c r="J604">
        <v>107.77</v>
      </c>
      <c r="K604">
        <v>0</v>
      </c>
      <c r="L604">
        <v>54</v>
      </c>
      <c r="M604">
        <v>215.54</v>
      </c>
      <c r="N604">
        <v>215.54</v>
      </c>
      <c r="O604">
        <v>108</v>
      </c>
      <c r="P604">
        <v>107.53999999999999</v>
      </c>
    </row>
    <row r="605" spans="1:16" x14ac:dyDescent="0.3">
      <c r="A605" s="1">
        <v>45778</v>
      </c>
      <c r="B605" s="2" t="s">
        <v>39</v>
      </c>
      <c r="C605" s="2" t="s">
        <v>92</v>
      </c>
      <c r="D605" s="2" t="s">
        <v>50</v>
      </c>
      <c r="E605" s="2" t="s">
        <v>42</v>
      </c>
      <c r="F605" s="2" t="s">
        <v>43</v>
      </c>
      <c r="G605" s="2" t="s">
        <v>160</v>
      </c>
      <c r="H605">
        <v>1</v>
      </c>
      <c r="I605">
        <v>3</v>
      </c>
      <c r="J605">
        <v>302.06</v>
      </c>
      <c r="K605">
        <v>0.08</v>
      </c>
      <c r="L605">
        <v>182</v>
      </c>
      <c r="M605">
        <v>906.18000000000006</v>
      </c>
      <c r="N605">
        <v>833.68560000000014</v>
      </c>
      <c r="O605">
        <v>546</v>
      </c>
      <c r="P605">
        <v>287.68560000000014</v>
      </c>
    </row>
    <row r="606" spans="1:16" x14ac:dyDescent="0.3">
      <c r="A606" s="1">
        <v>45778</v>
      </c>
      <c r="B606" s="2" t="s">
        <v>39</v>
      </c>
      <c r="C606" s="2" t="s">
        <v>45</v>
      </c>
      <c r="D606" s="2" t="s">
        <v>50</v>
      </c>
      <c r="E606" s="2" t="s">
        <v>42</v>
      </c>
      <c r="F606" s="2" t="s">
        <v>48</v>
      </c>
      <c r="G606" s="2" t="s">
        <v>59</v>
      </c>
      <c r="H606">
        <v>1</v>
      </c>
      <c r="I606">
        <v>2</v>
      </c>
      <c r="J606">
        <v>70.66</v>
      </c>
      <c r="K606">
        <v>0.08</v>
      </c>
      <c r="L606">
        <v>31</v>
      </c>
      <c r="M606">
        <v>141.32</v>
      </c>
      <c r="N606">
        <v>130.01439999999999</v>
      </c>
      <c r="O606">
        <v>62</v>
      </c>
      <c r="P606">
        <v>68.014399999999995</v>
      </c>
    </row>
    <row r="607" spans="1:16" x14ac:dyDescent="0.3">
      <c r="A607" s="1">
        <v>45778</v>
      </c>
      <c r="B607" s="2" t="s">
        <v>65</v>
      </c>
      <c r="C607" s="2" t="s">
        <v>66</v>
      </c>
      <c r="D607" s="2" t="s">
        <v>50</v>
      </c>
      <c r="E607" s="2" t="s">
        <v>42</v>
      </c>
      <c r="F607" s="2" t="s">
        <v>52</v>
      </c>
      <c r="G607" s="2" t="s">
        <v>174</v>
      </c>
      <c r="H607">
        <v>1</v>
      </c>
      <c r="I607">
        <v>1</v>
      </c>
      <c r="J607">
        <v>41.63</v>
      </c>
      <c r="K607">
        <v>0.05</v>
      </c>
      <c r="L607">
        <v>18</v>
      </c>
      <c r="M607">
        <v>41.63</v>
      </c>
      <c r="N607">
        <v>39.548499999999997</v>
      </c>
      <c r="O607">
        <v>18</v>
      </c>
      <c r="P607">
        <v>21.548499999999997</v>
      </c>
    </row>
    <row r="608" spans="1:16" x14ac:dyDescent="0.3">
      <c r="A608" s="1">
        <v>45778</v>
      </c>
      <c r="B608" s="2" t="s">
        <v>65</v>
      </c>
      <c r="C608" s="2" t="s">
        <v>66</v>
      </c>
      <c r="D608" s="2" t="s">
        <v>50</v>
      </c>
      <c r="E608" s="2" t="s">
        <v>42</v>
      </c>
      <c r="F608" s="2" t="s">
        <v>48</v>
      </c>
      <c r="G608" s="2" t="s">
        <v>174</v>
      </c>
      <c r="H608">
        <v>1</v>
      </c>
      <c r="I608">
        <v>2</v>
      </c>
      <c r="J608">
        <v>139.08000000000001</v>
      </c>
      <c r="K608">
        <v>0.1</v>
      </c>
      <c r="L608">
        <v>63</v>
      </c>
      <c r="M608">
        <v>278.16000000000003</v>
      </c>
      <c r="N608">
        <v>250.34400000000002</v>
      </c>
      <c r="O608">
        <v>126</v>
      </c>
      <c r="P608">
        <v>124.34400000000002</v>
      </c>
    </row>
    <row r="609" spans="1:16" x14ac:dyDescent="0.3">
      <c r="A609" s="1">
        <v>45778</v>
      </c>
      <c r="B609" s="2" t="s">
        <v>65</v>
      </c>
      <c r="C609" s="2" t="s">
        <v>66</v>
      </c>
      <c r="D609" s="2" t="s">
        <v>50</v>
      </c>
      <c r="E609" s="2" t="s">
        <v>42</v>
      </c>
      <c r="F609" s="2" t="s">
        <v>43</v>
      </c>
      <c r="G609" s="2" t="s">
        <v>174</v>
      </c>
      <c r="H609">
        <v>2</v>
      </c>
      <c r="I609">
        <v>2</v>
      </c>
      <c r="J609">
        <v>713.29</v>
      </c>
      <c r="K609">
        <v>0.1</v>
      </c>
      <c r="L609">
        <v>457.5</v>
      </c>
      <c r="M609">
        <v>1426.58</v>
      </c>
      <c r="N609">
        <v>1283.922</v>
      </c>
      <c r="O609">
        <v>915</v>
      </c>
      <c r="P609">
        <v>368.92200000000003</v>
      </c>
    </row>
    <row r="610" spans="1:16" x14ac:dyDescent="0.3">
      <c r="A610" s="1">
        <v>45778</v>
      </c>
      <c r="B610" s="2" t="s">
        <v>39</v>
      </c>
      <c r="C610" s="2" t="s">
        <v>92</v>
      </c>
      <c r="D610" s="2" t="s">
        <v>50</v>
      </c>
      <c r="E610" s="2" t="s">
        <v>42</v>
      </c>
      <c r="F610" s="2" t="s">
        <v>43</v>
      </c>
      <c r="G610" s="2" t="s">
        <v>109</v>
      </c>
      <c r="H610">
        <v>1</v>
      </c>
      <c r="I610">
        <v>2</v>
      </c>
      <c r="J610">
        <v>104.95</v>
      </c>
      <c r="K610">
        <v>0.1</v>
      </c>
      <c r="L610">
        <v>54</v>
      </c>
      <c r="M610">
        <v>209.9</v>
      </c>
      <c r="N610">
        <v>188.91</v>
      </c>
      <c r="O610">
        <v>108</v>
      </c>
      <c r="P610">
        <v>80.91</v>
      </c>
    </row>
    <row r="611" spans="1:16" x14ac:dyDescent="0.3">
      <c r="A611" s="1">
        <v>45778</v>
      </c>
      <c r="B611" s="2" t="s">
        <v>39</v>
      </c>
      <c r="C611" s="2" t="s">
        <v>92</v>
      </c>
      <c r="D611" s="2" t="s">
        <v>50</v>
      </c>
      <c r="E611" s="2" t="s">
        <v>42</v>
      </c>
      <c r="F611" s="2" t="s">
        <v>48</v>
      </c>
      <c r="G611" s="2" t="s">
        <v>109</v>
      </c>
      <c r="H611">
        <v>1</v>
      </c>
      <c r="I611">
        <v>1</v>
      </c>
      <c r="J611">
        <v>131.28</v>
      </c>
      <c r="K611">
        <v>0.05</v>
      </c>
      <c r="L611">
        <v>63</v>
      </c>
      <c r="M611">
        <v>131.28</v>
      </c>
      <c r="N611">
        <v>124.71599999999999</v>
      </c>
      <c r="O611">
        <v>63</v>
      </c>
      <c r="P611">
        <v>61.715999999999994</v>
      </c>
    </row>
    <row r="612" spans="1:16" x14ac:dyDescent="0.3">
      <c r="A612" s="1">
        <v>45778</v>
      </c>
      <c r="B612" s="2" t="s">
        <v>39</v>
      </c>
      <c r="C612" s="2" t="s">
        <v>78</v>
      </c>
      <c r="D612" s="2" t="s">
        <v>50</v>
      </c>
      <c r="E612" s="2" t="s">
        <v>42</v>
      </c>
      <c r="F612" s="2" t="s">
        <v>48</v>
      </c>
      <c r="G612" s="2" t="s">
        <v>190</v>
      </c>
      <c r="H612">
        <v>2</v>
      </c>
      <c r="I612">
        <v>6</v>
      </c>
      <c r="J612">
        <v>111.36499999999999</v>
      </c>
      <c r="K612">
        <v>2.5000000000000001E-2</v>
      </c>
      <c r="L612">
        <v>51</v>
      </c>
      <c r="M612">
        <v>710.72</v>
      </c>
      <c r="N612">
        <v>701.70999999999992</v>
      </c>
      <c r="O612">
        <v>330</v>
      </c>
      <c r="P612">
        <v>371.70999999999992</v>
      </c>
    </row>
    <row r="613" spans="1:16" x14ac:dyDescent="0.3">
      <c r="A613" s="1">
        <v>45778</v>
      </c>
      <c r="B613" s="2" t="s">
        <v>83</v>
      </c>
      <c r="C613" s="2" t="s">
        <v>84</v>
      </c>
      <c r="D613" s="2" t="s">
        <v>41</v>
      </c>
      <c r="E613" s="2" t="s">
        <v>47</v>
      </c>
      <c r="F613" s="2" t="s">
        <v>43</v>
      </c>
      <c r="G613" s="2" t="s">
        <v>157</v>
      </c>
      <c r="H613">
        <v>2</v>
      </c>
      <c r="I613">
        <v>6</v>
      </c>
      <c r="J613">
        <v>498.10499999999996</v>
      </c>
      <c r="K613">
        <v>0</v>
      </c>
      <c r="L613">
        <v>640</v>
      </c>
      <c r="M613">
        <v>2988.6299999999997</v>
      </c>
      <c r="N613">
        <v>2988.6299999999997</v>
      </c>
      <c r="O613">
        <v>3840</v>
      </c>
      <c r="P613">
        <v>-851.37000000000035</v>
      </c>
    </row>
    <row r="614" spans="1:16" x14ac:dyDescent="0.3">
      <c r="A614" s="1">
        <v>45778</v>
      </c>
      <c r="B614" s="2" t="s">
        <v>83</v>
      </c>
      <c r="C614" s="2" t="s">
        <v>84</v>
      </c>
      <c r="D614" s="2" t="s">
        <v>41</v>
      </c>
      <c r="E614" s="2" t="s">
        <v>47</v>
      </c>
      <c r="F614" s="2" t="s">
        <v>48</v>
      </c>
      <c r="G614" s="2" t="s">
        <v>157</v>
      </c>
      <c r="H614">
        <v>1</v>
      </c>
      <c r="I614">
        <v>4</v>
      </c>
      <c r="J614">
        <v>137.71</v>
      </c>
      <c r="K614">
        <v>0.05</v>
      </c>
      <c r="L614">
        <v>63</v>
      </c>
      <c r="M614">
        <v>550.84</v>
      </c>
      <c r="N614">
        <v>523.298</v>
      </c>
      <c r="O614">
        <v>252</v>
      </c>
      <c r="P614">
        <v>271.298</v>
      </c>
    </row>
    <row r="615" spans="1:16" x14ac:dyDescent="0.3">
      <c r="A615" s="1">
        <v>45778</v>
      </c>
      <c r="B615" s="2" t="s">
        <v>39</v>
      </c>
      <c r="C615" s="2" t="s">
        <v>92</v>
      </c>
      <c r="D615" s="2" t="s">
        <v>50</v>
      </c>
      <c r="E615" s="2" t="s">
        <v>47</v>
      </c>
      <c r="F615" s="2" t="s">
        <v>48</v>
      </c>
      <c r="G615" s="2" t="s">
        <v>160</v>
      </c>
      <c r="H615">
        <v>1</v>
      </c>
      <c r="I615">
        <v>4</v>
      </c>
      <c r="J615">
        <v>93.51</v>
      </c>
      <c r="K615">
        <v>0.05</v>
      </c>
      <c r="L615">
        <v>39</v>
      </c>
      <c r="M615">
        <v>374.04</v>
      </c>
      <c r="N615">
        <v>355.33800000000002</v>
      </c>
      <c r="O615">
        <v>156</v>
      </c>
      <c r="P615">
        <v>199.33800000000002</v>
      </c>
    </row>
    <row r="616" spans="1:16" x14ac:dyDescent="0.3">
      <c r="A616" s="1">
        <v>45778</v>
      </c>
      <c r="B616" s="2" t="s">
        <v>56</v>
      </c>
      <c r="C616" s="2" t="s">
        <v>62</v>
      </c>
      <c r="D616" s="2" t="s">
        <v>41</v>
      </c>
      <c r="E616" s="2" t="s">
        <v>51</v>
      </c>
      <c r="F616" s="2" t="s">
        <v>52</v>
      </c>
      <c r="G616" s="2" t="s">
        <v>161</v>
      </c>
      <c r="H616">
        <v>1</v>
      </c>
      <c r="I616">
        <v>8</v>
      </c>
      <c r="J616">
        <v>40.090000000000003</v>
      </c>
      <c r="K616">
        <v>0</v>
      </c>
      <c r="L616">
        <v>18</v>
      </c>
      <c r="M616">
        <v>320.72000000000003</v>
      </c>
      <c r="N616">
        <v>320.72000000000003</v>
      </c>
      <c r="O616">
        <v>144</v>
      </c>
      <c r="P616">
        <v>176.72000000000003</v>
      </c>
    </row>
    <row r="617" spans="1:16" x14ac:dyDescent="0.3">
      <c r="A617" s="1">
        <v>45778</v>
      </c>
      <c r="B617" s="2" t="s">
        <v>65</v>
      </c>
      <c r="C617" s="2" t="s">
        <v>66</v>
      </c>
      <c r="D617" s="2" t="s">
        <v>50</v>
      </c>
      <c r="E617" s="2" t="s">
        <v>47</v>
      </c>
      <c r="F617" s="2" t="s">
        <v>52</v>
      </c>
      <c r="G617" s="2" t="s">
        <v>195</v>
      </c>
      <c r="H617">
        <v>1</v>
      </c>
      <c r="I617">
        <v>2</v>
      </c>
      <c r="J617">
        <v>213.21</v>
      </c>
      <c r="K617">
        <v>0.1</v>
      </c>
      <c r="L617">
        <v>124</v>
      </c>
      <c r="M617">
        <v>426.42</v>
      </c>
      <c r="N617">
        <v>383.77800000000002</v>
      </c>
      <c r="O617">
        <v>248</v>
      </c>
      <c r="P617">
        <v>135.77800000000002</v>
      </c>
    </row>
    <row r="618" spans="1:16" x14ac:dyDescent="0.3">
      <c r="A618" s="1">
        <v>45778</v>
      </c>
      <c r="B618" s="2" t="s">
        <v>39</v>
      </c>
      <c r="C618" s="2" t="s">
        <v>45</v>
      </c>
      <c r="D618" s="2" t="s">
        <v>158</v>
      </c>
      <c r="E618" s="2" t="s">
        <v>51</v>
      </c>
      <c r="F618" s="2" t="s">
        <v>43</v>
      </c>
      <c r="G618" s="2" t="s">
        <v>86</v>
      </c>
      <c r="H618">
        <v>1</v>
      </c>
      <c r="I618">
        <v>8</v>
      </c>
      <c r="J618">
        <v>265.57</v>
      </c>
      <c r="K618">
        <v>0</v>
      </c>
      <c r="L618">
        <v>182</v>
      </c>
      <c r="M618">
        <v>2124.56</v>
      </c>
      <c r="N618">
        <v>2124.56</v>
      </c>
      <c r="O618">
        <v>1456</v>
      </c>
      <c r="P618">
        <v>668.56</v>
      </c>
    </row>
    <row r="619" spans="1:16" x14ac:dyDescent="0.3">
      <c r="A619" s="1">
        <v>45778</v>
      </c>
      <c r="B619" s="2" t="s">
        <v>65</v>
      </c>
      <c r="C619" s="2" t="s">
        <v>80</v>
      </c>
      <c r="D619" s="2" t="s">
        <v>46</v>
      </c>
      <c r="E619" s="2" t="s">
        <v>42</v>
      </c>
      <c r="F619" s="2" t="s">
        <v>43</v>
      </c>
      <c r="G619" s="2" t="s">
        <v>213</v>
      </c>
      <c r="H619">
        <v>1</v>
      </c>
      <c r="I619">
        <v>1</v>
      </c>
      <c r="J619">
        <v>103.62</v>
      </c>
      <c r="K619">
        <v>0.05</v>
      </c>
      <c r="L619">
        <v>54</v>
      </c>
      <c r="M619">
        <v>103.62</v>
      </c>
      <c r="N619">
        <v>98.438999999999993</v>
      </c>
      <c r="O619">
        <v>54</v>
      </c>
      <c r="P619">
        <v>44.438999999999993</v>
      </c>
    </row>
    <row r="620" spans="1:16" x14ac:dyDescent="0.3">
      <c r="A620" s="1">
        <v>45778</v>
      </c>
      <c r="B620" s="2" t="s">
        <v>39</v>
      </c>
      <c r="C620" s="2" t="s">
        <v>152</v>
      </c>
      <c r="D620" s="2" t="s">
        <v>41</v>
      </c>
      <c r="E620" s="2" t="s">
        <v>51</v>
      </c>
      <c r="F620" s="2" t="s">
        <v>43</v>
      </c>
      <c r="G620" s="2" t="s">
        <v>153</v>
      </c>
      <c r="H620">
        <v>2</v>
      </c>
      <c r="I620">
        <v>20</v>
      </c>
      <c r="J620">
        <v>179.465</v>
      </c>
      <c r="K620">
        <v>0</v>
      </c>
      <c r="L620">
        <v>118</v>
      </c>
      <c r="M620">
        <v>3753.37</v>
      </c>
      <c r="N620">
        <v>3753.37</v>
      </c>
      <c r="O620">
        <v>2488</v>
      </c>
      <c r="P620">
        <v>1265.3700000000001</v>
      </c>
    </row>
    <row r="621" spans="1:16" x14ac:dyDescent="0.3">
      <c r="A621" s="1">
        <v>45778</v>
      </c>
      <c r="B621" s="2" t="s">
        <v>39</v>
      </c>
      <c r="C621" s="2" t="s">
        <v>92</v>
      </c>
      <c r="D621" s="2" t="s">
        <v>41</v>
      </c>
      <c r="E621" s="2" t="s">
        <v>47</v>
      </c>
      <c r="F621" s="2" t="s">
        <v>43</v>
      </c>
      <c r="G621" s="2" t="s">
        <v>148</v>
      </c>
      <c r="H621">
        <v>1</v>
      </c>
      <c r="I621">
        <v>1</v>
      </c>
      <c r="J621">
        <v>634.22</v>
      </c>
      <c r="K621">
        <v>0</v>
      </c>
      <c r="L621">
        <v>395</v>
      </c>
      <c r="M621">
        <v>634.22</v>
      </c>
      <c r="N621">
        <v>634.22</v>
      </c>
      <c r="O621">
        <v>395</v>
      </c>
      <c r="P621">
        <v>239.22000000000003</v>
      </c>
    </row>
    <row r="622" spans="1:16" x14ac:dyDescent="0.3">
      <c r="A622" s="1">
        <v>45778</v>
      </c>
      <c r="B622" s="2" t="s">
        <v>83</v>
      </c>
      <c r="C622" s="2" t="s">
        <v>84</v>
      </c>
      <c r="D622" s="2" t="s">
        <v>41</v>
      </c>
      <c r="E622" s="2" t="s">
        <v>42</v>
      </c>
      <c r="F622" s="2" t="s">
        <v>52</v>
      </c>
      <c r="G622" s="2" t="s">
        <v>85</v>
      </c>
      <c r="H622">
        <v>1</v>
      </c>
      <c r="I622">
        <v>2</v>
      </c>
      <c r="J622">
        <v>210.24</v>
      </c>
      <c r="K622">
        <v>0</v>
      </c>
      <c r="L622">
        <v>124</v>
      </c>
      <c r="M622">
        <v>420.48</v>
      </c>
      <c r="N622">
        <v>420.48</v>
      </c>
      <c r="O622">
        <v>248</v>
      </c>
      <c r="P622">
        <v>172.48000000000002</v>
      </c>
    </row>
    <row r="623" spans="1:16" x14ac:dyDescent="0.3">
      <c r="A623" s="1">
        <v>45778</v>
      </c>
      <c r="B623" s="2" t="s">
        <v>83</v>
      </c>
      <c r="C623" s="2" t="s">
        <v>84</v>
      </c>
      <c r="D623" s="2" t="s">
        <v>41</v>
      </c>
      <c r="E623" s="2" t="s">
        <v>42</v>
      </c>
      <c r="F623" s="2" t="s">
        <v>43</v>
      </c>
      <c r="G623" s="2" t="s">
        <v>85</v>
      </c>
      <c r="H623">
        <v>1</v>
      </c>
      <c r="I623">
        <v>2</v>
      </c>
      <c r="J623">
        <v>607.89</v>
      </c>
      <c r="K623">
        <v>0</v>
      </c>
      <c r="L623">
        <v>395</v>
      </c>
      <c r="M623">
        <v>1215.78</v>
      </c>
      <c r="N623">
        <v>1215.78</v>
      </c>
      <c r="O623">
        <v>790</v>
      </c>
      <c r="P623">
        <v>425.78</v>
      </c>
    </row>
    <row r="624" spans="1:16" x14ac:dyDescent="0.3">
      <c r="A624" s="1">
        <v>45778</v>
      </c>
      <c r="B624" s="2" t="s">
        <v>39</v>
      </c>
      <c r="C624" s="2" t="s">
        <v>88</v>
      </c>
      <c r="D624" s="2" t="s">
        <v>50</v>
      </c>
      <c r="E624" s="2" t="s">
        <v>42</v>
      </c>
      <c r="F624" s="2" t="s">
        <v>48</v>
      </c>
      <c r="G624" s="2" t="s">
        <v>173</v>
      </c>
      <c r="H624">
        <v>1</v>
      </c>
      <c r="I624">
        <v>1</v>
      </c>
      <c r="J624">
        <v>72.17</v>
      </c>
      <c r="K624">
        <v>0.05</v>
      </c>
      <c r="L624">
        <v>31</v>
      </c>
      <c r="M624">
        <v>72.17</v>
      </c>
      <c r="N624">
        <v>68.561499999999995</v>
      </c>
      <c r="O624">
        <v>31</v>
      </c>
      <c r="P624">
        <v>37.561499999999995</v>
      </c>
    </row>
    <row r="625" spans="1:16" x14ac:dyDescent="0.3">
      <c r="A625" s="1">
        <v>45778</v>
      </c>
      <c r="B625" s="2" t="s">
        <v>39</v>
      </c>
      <c r="C625" s="2" t="s">
        <v>40</v>
      </c>
      <c r="D625" s="2" t="s">
        <v>41</v>
      </c>
      <c r="E625" s="2" t="s">
        <v>42</v>
      </c>
      <c r="F625" s="2" t="s">
        <v>48</v>
      </c>
      <c r="G625" s="2" t="s">
        <v>180</v>
      </c>
      <c r="H625">
        <v>1</v>
      </c>
      <c r="I625">
        <v>1</v>
      </c>
      <c r="J625">
        <v>91.72</v>
      </c>
      <c r="K625">
        <v>0</v>
      </c>
      <c r="L625">
        <v>39</v>
      </c>
      <c r="M625">
        <v>91.72</v>
      </c>
      <c r="N625">
        <v>91.72</v>
      </c>
      <c r="O625">
        <v>39</v>
      </c>
      <c r="P625">
        <v>52.72</v>
      </c>
    </row>
    <row r="626" spans="1:16" x14ac:dyDescent="0.3">
      <c r="A626" s="1">
        <v>45778</v>
      </c>
      <c r="B626" s="2" t="s">
        <v>75</v>
      </c>
      <c r="C626" s="2" t="s">
        <v>101</v>
      </c>
      <c r="D626" s="2" t="s">
        <v>50</v>
      </c>
      <c r="E626" s="2" t="s">
        <v>42</v>
      </c>
      <c r="F626" s="2" t="s">
        <v>48</v>
      </c>
      <c r="G626" s="2" t="s">
        <v>162</v>
      </c>
      <c r="H626">
        <v>1</v>
      </c>
      <c r="I626">
        <v>1</v>
      </c>
      <c r="J626">
        <v>134.68</v>
      </c>
      <c r="K626">
        <v>0.05</v>
      </c>
      <c r="L626">
        <v>63</v>
      </c>
      <c r="M626">
        <v>134.68</v>
      </c>
      <c r="N626">
        <v>127.946</v>
      </c>
      <c r="O626">
        <v>63</v>
      </c>
      <c r="P626">
        <v>64.945999999999998</v>
      </c>
    </row>
    <row r="627" spans="1:16" x14ac:dyDescent="0.3">
      <c r="A627" s="1">
        <v>45778</v>
      </c>
      <c r="B627" s="2" t="s">
        <v>75</v>
      </c>
      <c r="C627" s="2" t="s">
        <v>76</v>
      </c>
      <c r="D627" s="2" t="s">
        <v>50</v>
      </c>
      <c r="E627" s="2" t="s">
        <v>47</v>
      </c>
      <c r="F627" s="2" t="s">
        <v>48</v>
      </c>
      <c r="G627" s="2" t="s">
        <v>151</v>
      </c>
      <c r="H627">
        <v>1</v>
      </c>
      <c r="I627">
        <v>4</v>
      </c>
      <c r="J627">
        <v>137.22999999999999</v>
      </c>
      <c r="K627">
        <v>0.08</v>
      </c>
      <c r="L627">
        <v>63</v>
      </c>
      <c r="M627">
        <v>548.91999999999996</v>
      </c>
      <c r="N627">
        <v>505.00639999999999</v>
      </c>
      <c r="O627">
        <v>252</v>
      </c>
      <c r="P627">
        <v>253.00639999999999</v>
      </c>
    </row>
    <row r="628" spans="1:16" x14ac:dyDescent="0.3">
      <c r="A628" s="1">
        <v>45778</v>
      </c>
      <c r="B628" s="2" t="s">
        <v>70</v>
      </c>
      <c r="C628" s="2" t="s">
        <v>45</v>
      </c>
      <c r="D628" s="2" t="s">
        <v>50</v>
      </c>
      <c r="E628" s="2" t="s">
        <v>47</v>
      </c>
      <c r="F628" s="2" t="s">
        <v>48</v>
      </c>
      <c r="G628" s="2" t="s">
        <v>71</v>
      </c>
      <c r="H628">
        <v>1</v>
      </c>
      <c r="I628">
        <v>6</v>
      </c>
      <c r="J628">
        <v>98.3</v>
      </c>
      <c r="K628">
        <v>0.08</v>
      </c>
      <c r="L628">
        <v>39</v>
      </c>
      <c r="M628">
        <v>589.79999999999995</v>
      </c>
      <c r="N628">
        <v>542.61599999999999</v>
      </c>
      <c r="O628">
        <v>234</v>
      </c>
      <c r="P628">
        <v>308.61599999999999</v>
      </c>
    </row>
    <row r="629" spans="1:16" x14ac:dyDescent="0.3">
      <c r="A629" s="1">
        <v>45778</v>
      </c>
      <c r="B629" s="2" t="s">
        <v>70</v>
      </c>
      <c r="C629" s="2" t="s">
        <v>45</v>
      </c>
      <c r="D629" s="2" t="s">
        <v>50</v>
      </c>
      <c r="E629" s="2" t="s">
        <v>47</v>
      </c>
      <c r="F629" s="2" t="s">
        <v>43</v>
      </c>
      <c r="G629" s="2" t="s">
        <v>71</v>
      </c>
      <c r="H629">
        <v>1</v>
      </c>
      <c r="I629">
        <v>1</v>
      </c>
      <c r="J629">
        <v>845.71</v>
      </c>
      <c r="K629">
        <v>0.05</v>
      </c>
      <c r="L629">
        <v>520</v>
      </c>
      <c r="M629">
        <v>845.71</v>
      </c>
      <c r="N629">
        <v>803.42449999999997</v>
      </c>
      <c r="O629">
        <v>520</v>
      </c>
      <c r="P629">
        <v>283.42449999999997</v>
      </c>
    </row>
    <row r="630" spans="1:16" x14ac:dyDescent="0.3">
      <c r="A630" s="1">
        <v>45778</v>
      </c>
      <c r="B630" s="2" t="s">
        <v>39</v>
      </c>
      <c r="C630" s="2" t="s">
        <v>40</v>
      </c>
      <c r="D630" s="2" t="s">
        <v>50</v>
      </c>
      <c r="E630" s="2" t="s">
        <v>42</v>
      </c>
      <c r="F630" s="2" t="s">
        <v>48</v>
      </c>
      <c r="G630" s="2" t="s">
        <v>114</v>
      </c>
      <c r="H630">
        <v>1</v>
      </c>
      <c r="I630">
        <v>1</v>
      </c>
      <c r="J630">
        <v>135.4</v>
      </c>
      <c r="K630">
        <v>0.08</v>
      </c>
      <c r="L630">
        <v>63</v>
      </c>
      <c r="M630">
        <v>135.4</v>
      </c>
      <c r="N630">
        <v>124.56800000000001</v>
      </c>
      <c r="O630">
        <v>63</v>
      </c>
      <c r="P630">
        <v>61.568000000000012</v>
      </c>
    </row>
    <row r="631" spans="1:16" x14ac:dyDescent="0.3">
      <c r="A631" s="1">
        <v>45778</v>
      </c>
      <c r="B631" s="2" t="s">
        <v>39</v>
      </c>
      <c r="C631" s="2" t="s">
        <v>92</v>
      </c>
      <c r="D631" s="2" t="s">
        <v>41</v>
      </c>
      <c r="E631" s="2" t="s">
        <v>42</v>
      </c>
      <c r="F631" s="2" t="s">
        <v>48</v>
      </c>
      <c r="G631" s="2" t="s">
        <v>225</v>
      </c>
      <c r="H631">
        <v>1</v>
      </c>
      <c r="I631">
        <v>1</v>
      </c>
      <c r="J631">
        <v>22.97</v>
      </c>
      <c r="K631">
        <v>0</v>
      </c>
      <c r="L631">
        <v>8</v>
      </c>
      <c r="M631">
        <v>22.97</v>
      </c>
      <c r="N631">
        <v>22.97</v>
      </c>
      <c r="O631">
        <v>8</v>
      </c>
      <c r="P631">
        <v>14.969999999999999</v>
      </c>
    </row>
    <row r="632" spans="1:16" x14ac:dyDescent="0.3">
      <c r="A632" s="1">
        <v>45778</v>
      </c>
      <c r="B632" s="2" t="s">
        <v>39</v>
      </c>
      <c r="C632" s="2" t="s">
        <v>40</v>
      </c>
      <c r="D632" s="2" t="s">
        <v>46</v>
      </c>
      <c r="E632" s="2" t="s">
        <v>51</v>
      </c>
      <c r="F632" s="2" t="s">
        <v>43</v>
      </c>
      <c r="G632" s="2" t="s">
        <v>82</v>
      </c>
      <c r="H632">
        <v>1</v>
      </c>
      <c r="I632">
        <v>10</v>
      </c>
      <c r="J632">
        <v>271.14</v>
      </c>
      <c r="K632">
        <v>0.12</v>
      </c>
      <c r="L632">
        <v>182</v>
      </c>
      <c r="M632">
        <v>2711.3999999999996</v>
      </c>
      <c r="N632">
        <v>2386.0319999999997</v>
      </c>
      <c r="O632">
        <v>1820</v>
      </c>
      <c r="P632">
        <v>566.0319999999997</v>
      </c>
    </row>
    <row r="633" spans="1:16" x14ac:dyDescent="0.3">
      <c r="A633" s="1">
        <v>45778</v>
      </c>
      <c r="B633" s="2" t="s">
        <v>39</v>
      </c>
      <c r="C633" s="2" t="s">
        <v>78</v>
      </c>
      <c r="D633" s="2" t="s">
        <v>41</v>
      </c>
      <c r="E633" s="2" t="s">
        <v>42</v>
      </c>
      <c r="F633" s="2" t="s">
        <v>52</v>
      </c>
      <c r="G633" s="2" t="s">
        <v>58</v>
      </c>
      <c r="H633">
        <v>1</v>
      </c>
      <c r="I633">
        <v>1</v>
      </c>
      <c r="J633">
        <v>209.99</v>
      </c>
      <c r="K633">
        <v>0</v>
      </c>
      <c r="L633">
        <v>124</v>
      </c>
      <c r="M633">
        <v>209.99</v>
      </c>
      <c r="N633">
        <v>209.99</v>
      </c>
      <c r="O633">
        <v>124</v>
      </c>
      <c r="P633">
        <v>85.990000000000009</v>
      </c>
    </row>
    <row r="634" spans="1:16" x14ac:dyDescent="0.3">
      <c r="A634" s="1">
        <v>45778</v>
      </c>
      <c r="B634" s="2" t="s">
        <v>39</v>
      </c>
      <c r="C634" s="2" t="s">
        <v>88</v>
      </c>
      <c r="D634" s="2" t="s">
        <v>50</v>
      </c>
      <c r="E634" s="2" t="s">
        <v>47</v>
      </c>
      <c r="F634" s="2" t="s">
        <v>48</v>
      </c>
      <c r="G634" s="2" t="s">
        <v>173</v>
      </c>
      <c r="H634">
        <v>1</v>
      </c>
      <c r="I634">
        <v>5</v>
      </c>
      <c r="J634">
        <v>97.2</v>
      </c>
      <c r="K634">
        <v>0.05</v>
      </c>
      <c r="L634">
        <v>39</v>
      </c>
      <c r="M634">
        <v>486</v>
      </c>
      <c r="N634">
        <v>461.7</v>
      </c>
      <c r="O634">
        <v>195</v>
      </c>
      <c r="P634">
        <v>266.7</v>
      </c>
    </row>
    <row r="635" spans="1:16" x14ac:dyDescent="0.3">
      <c r="A635" s="1">
        <v>45778</v>
      </c>
      <c r="B635" s="2" t="s">
        <v>39</v>
      </c>
      <c r="C635" s="2" t="s">
        <v>88</v>
      </c>
      <c r="D635" s="2" t="s">
        <v>50</v>
      </c>
      <c r="E635" s="2" t="s">
        <v>47</v>
      </c>
      <c r="F635" s="2" t="s">
        <v>43</v>
      </c>
      <c r="G635" s="2" t="s">
        <v>173</v>
      </c>
      <c r="H635">
        <v>1</v>
      </c>
      <c r="I635">
        <v>3</v>
      </c>
      <c r="J635">
        <v>834.53</v>
      </c>
      <c r="K635">
        <v>0.05</v>
      </c>
      <c r="L635">
        <v>520</v>
      </c>
      <c r="M635">
        <v>2503.59</v>
      </c>
      <c r="N635">
        <v>2378.4105</v>
      </c>
      <c r="O635">
        <v>1560</v>
      </c>
      <c r="P635">
        <v>818.41049999999996</v>
      </c>
    </row>
    <row r="636" spans="1:16" x14ac:dyDescent="0.3">
      <c r="A636" s="1">
        <v>45778</v>
      </c>
      <c r="B636" s="2" t="s">
        <v>39</v>
      </c>
      <c r="C636" s="2" t="s">
        <v>45</v>
      </c>
      <c r="D636" s="2" t="s">
        <v>50</v>
      </c>
      <c r="E636" s="2" t="s">
        <v>42</v>
      </c>
      <c r="F636" s="2" t="s">
        <v>48</v>
      </c>
      <c r="G636" s="2" t="s">
        <v>53</v>
      </c>
      <c r="H636">
        <v>1</v>
      </c>
      <c r="I636">
        <v>2</v>
      </c>
      <c r="J636">
        <v>24.21</v>
      </c>
      <c r="K636">
        <v>0.08</v>
      </c>
      <c r="L636">
        <v>8</v>
      </c>
      <c r="M636">
        <v>48.42</v>
      </c>
      <c r="N636">
        <v>44.546400000000006</v>
      </c>
      <c r="O636">
        <v>16</v>
      </c>
      <c r="P636">
        <v>28.546400000000006</v>
      </c>
    </row>
    <row r="637" spans="1:16" x14ac:dyDescent="0.3">
      <c r="A637" s="1">
        <v>45778</v>
      </c>
      <c r="B637" s="2" t="s">
        <v>56</v>
      </c>
      <c r="C637" s="2" t="s">
        <v>62</v>
      </c>
      <c r="D637" s="2" t="s">
        <v>46</v>
      </c>
      <c r="E637" s="2" t="s">
        <v>42</v>
      </c>
      <c r="F637" s="2" t="s">
        <v>48</v>
      </c>
      <c r="G637" s="2" t="s">
        <v>74</v>
      </c>
      <c r="H637">
        <v>2</v>
      </c>
      <c r="I637">
        <v>6</v>
      </c>
      <c r="J637">
        <v>73.954999999999998</v>
      </c>
      <c r="K637">
        <v>0.1</v>
      </c>
      <c r="L637">
        <v>31</v>
      </c>
      <c r="M637">
        <v>444.46</v>
      </c>
      <c r="N637">
        <v>407.51899999999995</v>
      </c>
      <c r="O637">
        <v>186</v>
      </c>
      <c r="P637">
        <v>221.51899999999995</v>
      </c>
    </row>
    <row r="638" spans="1:16" x14ac:dyDescent="0.3">
      <c r="A638" s="1">
        <v>45992</v>
      </c>
      <c r="B638" s="2" t="s">
        <v>56</v>
      </c>
      <c r="C638" s="2" t="s">
        <v>62</v>
      </c>
      <c r="D638" s="2" t="s">
        <v>41</v>
      </c>
      <c r="E638" s="2" t="s">
        <v>42</v>
      </c>
      <c r="F638" s="2" t="s">
        <v>48</v>
      </c>
      <c r="G638" s="2" t="s">
        <v>193</v>
      </c>
      <c r="H638">
        <v>2</v>
      </c>
      <c r="I638">
        <v>2</v>
      </c>
      <c r="J638">
        <v>101.495</v>
      </c>
      <c r="K638">
        <v>0.05</v>
      </c>
      <c r="L638">
        <v>47</v>
      </c>
      <c r="M638">
        <v>202.99</v>
      </c>
      <c r="N638">
        <v>195.92599999999999</v>
      </c>
      <c r="O638">
        <v>94</v>
      </c>
      <c r="P638">
        <v>101.92599999999999</v>
      </c>
    </row>
    <row r="639" spans="1:16" x14ac:dyDescent="0.3">
      <c r="A639" s="1">
        <v>45778</v>
      </c>
      <c r="B639" s="2" t="s">
        <v>83</v>
      </c>
      <c r="C639" s="2" t="s">
        <v>84</v>
      </c>
      <c r="D639" s="2" t="s">
        <v>41</v>
      </c>
      <c r="E639" s="2" t="s">
        <v>47</v>
      </c>
      <c r="F639" s="2" t="s">
        <v>48</v>
      </c>
      <c r="G639" s="2" t="s">
        <v>160</v>
      </c>
      <c r="H639">
        <v>2</v>
      </c>
      <c r="I639">
        <v>7</v>
      </c>
      <c r="J639">
        <v>105.66499999999999</v>
      </c>
      <c r="K639">
        <v>0</v>
      </c>
      <c r="L639">
        <v>47</v>
      </c>
      <c r="M639">
        <v>837.14</v>
      </c>
      <c r="N639">
        <v>837.14</v>
      </c>
      <c r="O639">
        <v>377</v>
      </c>
      <c r="P639">
        <v>460.14</v>
      </c>
    </row>
    <row r="640" spans="1:16" x14ac:dyDescent="0.3">
      <c r="A640" s="1">
        <v>45778</v>
      </c>
      <c r="B640" s="2" t="s">
        <v>56</v>
      </c>
      <c r="C640" s="2" t="s">
        <v>57</v>
      </c>
      <c r="D640" s="2" t="s">
        <v>50</v>
      </c>
      <c r="E640" s="2" t="s">
        <v>42</v>
      </c>
      <c r="F640" s="2" t="s">
        <v>43</v>
      </c>
      <c r="G640" s="2" t="s">
        <v>160</v>
      </c>
      <c r="H640">
        <v>1</v>
      </c>
      <c r="I640">
        <v>1</v>
      </c>
      <c r="J640">
        <v>1153.8499999999999</v>
      </c>
      <c r="K640">
        <v>0.1</v>
      </c>
      <c r="L640">
        <v>760</v>
      </c>
      <c r="M640">
        <v>1153.8499999999999</v>
      </c>
      <c r="N640">
        <v>1038.4649999999999</v>
      </c>
      <c r="O640">
        <v>760</v>
      </c>
      <c r="P640">
        <v>278.46499999999992</v>
      </c>
    </row>
    <row r="641" spans="1:16" x14ac:dyDescent="0.3">
      <c r="A641" s="1">
        <v>45778</v>
      </c>
      <c r="B641" s="2" t="s">
        <v>56</v>
      </c>
      <c r="C641" s="2" t="s">
        <v>57</v>
      </c>
      <c r="D641" s="2" t="s">
        <v>50</v>
      </c>
      <c r="E641" s="2" t="s">
        <v>42</v>
      </c>
      <c r="F641" s="2" t="s">
        <v>48</v>
      </c>
      <c r="G641" s="2" t="s">
        <v>160</v>
      </c>
      <c r="H641">
        <v>1</v>
      </c>
      <c r="I641">
        <v>3</v>
      </c>
      <c r="J641">
        <v>140.07</v>
      </c>
      <c r="K641">
        <v>0.05</v>
      </c>
      <c r="L641">
        <v>63</v>
      </c>
      <c r="M641">
        <v>420.21</v>
      </c>
      <c r="N641">
        <v>399.19949999999994</v>
      </c>
      <c r="O641">
        <v>189</v>
      </c>
      <c r="P641">
        <v>210.19949999999994</v>
      </c>
    </row>
    <row r="642" spans="1:16" x14ac:dyDescent="0.3">
      <c r="A642" s="1">
        <v>45778</v>
      </c>
      <c r="B642" s="2" t="s">
        <v>39</v>
      </c>
      <c r="C642" s="2" t="s">
        <v>40</v>
      </c>
      <c r="D642" s="2" t="s">
        <v>46</v>
      </c>
      <c r="E642" s="2" t="s">
        <v>42</v>
      </c>
      <c r="F642" s="2" t="s">
        <v>43</v>
      </c>
      <c r="G642" s="2" t="s">
        <v>120</v>
      </c>
      <c r="H642">
        <v>1</v>
      </c>
      <c r="I642">
        <v>3</v>
      </c>
      <c r="J642">
        <v>172.09</v>
      </c>
      <c r="K642">
        <v>0.12</v>
      </c>
      <c r="L642">
        <v>86</v>
      </c>
      <c r="M642">
        <v>516.27</v>
      </c>
      <c r="N642">
        <v>454.31759999999997</v>
      </c>
      <c r="O642">
        <v>258</v>
      </c>
      <c r="P642">
        <v>196.31759999999997</v>
      </c>
    </row>
    <row r="643" spans="1:16" x14ac:dyDescent="0.3">
      <c r="A643" s="1">
        <v>45778</v>
      </c>
      <c r="B643" s="2" t="s">
        <v>56</v>
      </c>
      <c r="C643" s="2" t="s">
        <v>62</v>
      </c>
      <c r="D643" s="2" t="s">
        <v>46</v>
      </c>
      <c r="E643" s="2" t="s">
        <v>47</v>
      </c>
      <c r="F643" s="2" t="s">
        <v>48</v>
      </c>
      <c r="G643" s="2" t="s">
        <v>74</v>
      </c>
      <c r="H643">
        <v>2</v>
      </c>
      <c r="I643">
        <v>100</v>
      </c>
      <c r="J643">
        <v>76.33</v>
      </c>
      <c r="K643">
        <v>0.12</v>
      </c>
      <c r="L643">
        <v>31</v>
      </c>
      <c r="M643">
        <v>7633</v>
      </c>
      <c r="N643">
        <v>6717.04</v>
      </c>
      <c r="O643">
        <v>3100</v>
      </c>
      <c r="P643">
        <v>3617.04</v>
      </c>
    </row>
    <row r="644" spans="1:16" x14ac:dyDescent="0.3">
      <c r="A644" s="1">
        <v>45778</v>
      </c>
      <c r="B644" s="2" t="s">
        <v>75</v>
      </c>
      <c r="C644" s="2" t="s">
        <v>106</v>
      </c>
      <c r="D644" s="2" t="s">
        <v>41</v>
      </c>
      <c r="E644" s="2" t="s">
        <v>42</v>
      </c>
      <c r="F644" s="2" t="s">
        <v>43</v>
      </c>
      <c r="G644" s="2" t="s">
        <v>132</v>
      </c>
      <c r="H644">
        <v>1</v>
      </c>
      <c r="I644">
        <v>2</v>
      </c>
      <c r="J644">
        <v>625.61</v>
      </c>
      <c r="K644">
        <v>0</v>
      </c>
      <c r="L644">
        <v>395</v>
      </c>
      <c r="M644">
        <v>1251.22</v>
      </c>
      <c r="N644">
        <v>1251.22</v>
      </c>
      <c r="O644">
        <v>790</v>
      </c>
      <c r="P644">
        <v>461.22</v>
      </c>
    </row>
    <row r="645" spans="1:16" x14ac:dyDescent="0.3">
      <c r="A645" s="1">
        <v>45778</v>
      </c>
      <c r="B645" s="2" t="s">
        <v>56</v>
      </c>
      <c r="C645" s="2" t="s">
        <v>57</v>
      </c>
      <c r="D645" s="2" t="s">
        <v>46</v>
      </c>
      <c r="E645" s="2" t="s">
        <v>47</v>
      </c>
      <c r="F645" s="2" t="s">
        <v>52</v>
      </c>
      <c r="G645" s="2" t="s">
        <v>116</v>
      </c>
      <c r="H645">
        <v>1</v>
      </c>
      <c r="I645">
        <v>2</v>
      </c>
      <c r="J645">
        <v>43.94</v>
      </c>
      <c r="K645">
        <v>0.12</v>
      </c>
      <c r="L645">
        <v>18</v>
      </c>
      <c r="M645">
        <v>87.88</v>
      </c>
      <c r="N645">
        <v>77.334400000000002</v>
      </c>
      <c r="O645">
        <v>36</v>
      </c>
      <c r="P645">
        <v>41.334400000000002</v>
      </c>
    </row>
    <row r="646" spans="1:16" x14ac:dyDescent="0.3">
      <c r="A646" s="1">
        <v>45778</v>
      </c>
      <c r="B646" s="2" t="s">
        <v>39</v>
      </c>
      <c r="C646" s="2" t="s">
        <v>45</v>
      </c>
      <c r="D646" s="2" t="s">
        <v>41</v>
      </c>
      <c r="E646" s="2" t="s">
        <v>42</v>
      </c>
      <c r="F646" s="2" t="s">
        <v>48</v>
      </c>
      <c r="G646" s="2" t="s">
        <v>94</v>
      </c>
      <c r="H646">
        <v>1</v>
      </c>
      <c r="I646">
        <v>2</v>
      </c>
      <c r="J646">
        <v>73.48</v>
      </c>
      <c r="K646">
        <v>0.05</v>
      </c>
      <c r="L646">
        <v>31</v>
      </c>
      <c r="M646">
        <v>146.96</v>
      </c>
      <c r="N646">
        <v>139.61199999999999</v>
      </c>
      <c r="O646">
        <v>62</v>
      </c>
      <c r="P646">
        <v>77.611999999999995</v>
      </c>
    </row>
    <row r="647" spans="1:16" x14ac:dyDescent="0.3">
      <c r="A647" s="1">
        <v>45778</v>
      </c>
      <c r="B647" s="2" t="s">
        <v>39</v>
      </c>
      <c r="C647" s="2" t="s">
        <v>45</v>
      </c>
      <c r="D647" s="2" t="s">
        <v>41</v>
      </c>
      <c r="E647" s="2" t="s">
        <v>42</v>
      </c>
      <c r="F647" s="2" t="s">
        <v>52</v>
      </c>
      <c r="G647" s="2" t="s">
        <v>94</v>
      </c>
      <c r="H647">
        <v>1</v>
      </c>
      <c r="I647">
        <v>3</v>
      </c>
      <c r="J647">
        <v>204.37</v>
      </c>
      <c r="K647">
        <v>0</v>
      </c>
      <c r="L647">
        <v>124</v>
      </c>
      <c r="M647">
        <v>613.11</v>
      </c>
      <c r="N647">
        <v>613.11</v>
      </c>
      <c r="O647">
        <v>372</v>
      </c>
      <c r="P647">
        <v>241.11</v>
      </c>
    </row>
    <row r="648" spans="1:16" x14ac:dyDescent="0.3">
      <c r="A648" s="1">
        <v>45778</v>
      </c>
      <c r="B648" s="2" t="s">
        <v>56</v>
      </c>
      <c r="C648" s="2" t="s">
        <v>62</v>
      </c>
      <c r="D648" s="2" t="s">
        <v>41</v>
      </c>
      <c r="E648" s="2" t="s">
        <v>47</v>
      </c>
      <c r="F648" s="2" t="s">
        <v>48</v>
      </c>
      <c r="G648" s="2" t="s">
        <v>143</v>
      </c>
      <c r="H648">
        <v>1</v>
      </c>
      <c r="I648">
        <v>6</v>
      </c>
      <c r="J648">
        <v>73.88</v>
      </c>
      <c r="K648">
        <v>0.05</v>
      </c>
      <c r="L648">
        <v>31</v>
      </c>
      <c r="M648">
        <v>443.28</v>
      </c>
      <c r="N648">
        <v>421.11599999999993</v>
      </c>
      <c r="O648">
        <v>186</v>
      </c>
      <c r="P648">
        <v>235.11599999999993</v>
      </c>
    </row>
    <row r="649" spans="1:16" x14ac:dyDescent="0.3">
      <c r="A649" s="1">
        <v>45778</v>
      </c>
      <c r="B649" s="2" t="s">
        <v>75</v>
      </c>
      <c r="C649" s="2" t="s">
        <v>76</v>
      </c>
      <c r="D649" s="2" t="s">
        <v>46</v>
      </c>
      <c r="E649" s="2" t="s">
        <v>42</v>
      </c>
      <c r="F649" s="2" t="s">
        <v>43</v>
      </c>
      <c r="G649" s="2" t="s">
        <v>77</v>
      </c>
      <c r="H649">
        <v>1</v>
      </c>
      <c r="I649">
        <v>1</v>
      </c>
      <c r="J649">
        <v>300.69</v>
      </c>
      <c r="K649">
        <v>0.12</v>
      </c>
      <c r="L649">
        <v>182</v>
      </c>
      <c r="M649">
        <v>300.69</v>
      </c>
      <c r="N649">
        <v>264.60719999999998</v>
      </c>
      <c r="O649">
        <v>182</v>
      </c>
      <c r="P649">
        <v>82.607199999999978</v>
      </c>
    </row>
    <row r="650" spans="1:16" x14ac:dyDescent="0.3">
      <c r="A650" s="1">
        <v>45778</v>
      </c>
      <c r="B650" s="2" t="s">
        <v>39</v>
      </c>
      <c r="C650" s="2" t="s">
        <v>88</v>
      </c>
      <c r="D650" s="2" t="s">
        <v>50</v>
      </c>
      <c r="E650" s="2" t="s">
        <v>42</v>
      </c>
      <c r="F650" s="2" t="s">
        <v>43</v>
      </c>
      <c r="G650" s="2" t="s">
        <v>89</v>
      </c>
      <c r="H650">
        <v>1</v>
      </c>
      <c r="I650">
        <v>3</v>
      </c>
      <c r="J650">
        <v>615.27</v>
      </c>
      <c r="K650">
        <v>0.1</v>
      </c>
      <c r="L650">
        <v>395</v>
      </c>
      <c r="M650">
        <v>1845.81</v>
      </c>
      <c r="N650">
        <v>1661.229</v>
      </c>
      <c r="O650">
        <v>1185</v>
      </c>
      <c r="P650">
        <v>476.22900000000004</v>
      </c>
    </row>
    <row r="651" spans="1:16" x14ac:dyDescent="0.3">
      <c r="A651" s="1">
        <v>45778</v>
      </c>
      <c r="B651" s="2" t="s">
        <v>197</v>
      </c>
      <c r="C651" s="2" t="s">
        <v>40</v>
      </c>
      <c r="D651" s="2" t="s">
        <v>50</v>
      </c>
      <c r="E651" s="2" t="s">
        <v>51</v>
      </c>
      <c r="F651" s="2" t="s">
        <v>43</v>
      </c>
      <c r="G651" s="2" t="s">
        <v>198</v>
      </c>
      <c r="H651">
        <v>2</v>
      </c>
      <c r="I651">
        <v>9</v>
      </c>
      <c r="J651">
        <v>654.90000000000009</v>
      </c>
      <c r="K651">
        <v>7.5000000000000011E-2</v>
      </c>
      <c r="L651">
        <v>457.5</v>
      </c>
      <c r="M651">
        <v>5614.14</v>
      </c>
      <c r="N651">
        <v>5164.9590000000007</v>
      </c>
      <c r="O651">
        <v>3930</v>
      </c>
      <c r="P651">
        <v>1234.9590000000003</v>
      </c>
    </row>
    <row r="652" spans="1:16" x14ac:dyDescent="0.3">
      <c r="A652" s="1">
        <v>45778</v>
      </c>
      <c r="B652" s="2" t="s">
        <v>39</v>
      </c>
      <c r="C652" s="2" t="s">
        <v>45</v>
      </c>
      <c r="D652" s="2" t="s">
        <v>41</v>
      </c>
      <c r="E652" s="2" t="s">
        <v>51</v>
      </c>
      <c r="F652" s="2" t="s">
        <v>52</v>
      </c>
      <c r="G652" s="2" t="s">
        <v>194</v>
      </c>
      <c r="H652">
        <v>1</v>
      </c>
      <c r="I652">
        <v>3</v>
      </c>
      <c r="J652">
        <v>185.75</v>
      </c>
      <c r="K652">
        <v>0</v>
      </c>
      <c r="L652">
        <v>124</v>
      </c>
      <c r="M652">
        <v>557.25</v>
      </c>
      <c r="N652">
        <v>557.25</v>
      </c>
      <c r="O652">
        <v>372</v>
      </c>
      <c r="P652">
        <v>185.25</v>
      </c>
    </row>
    <row r="653" spans="1:16" x14ac:dyDescent="0.3">
      <c r="A653" s="1">
        <v>45778</v>
      </c>
      <c r="B653" s="2" t="s">
        <v>39</v>
      </c>
      <c r="C653" s="2" t="s">
        <v>45</v>
      </c>
      <c r="D653" s="2" t="s">
        <v>41</v>
      </c>
      <c r="E653" s="2" t="s">
        <v>51</v>
      </c>
      <c r="F653" s="2" t="s">
        <v>43</v>
      </c>
      <c r="G653" s="2" t="s">
        <v>194</v>
      </c>
      <c r="H653">
        <v>1</v>
      </c>
      <c r="I653">
        <v>11</v>
      </c>
      <c r="J653">
        <v>260.73</v>
      </c>
      <c r="K653">
        <v>0</v>
      </c>
      <c r="L653">
        <v>182</v>
      </c>
      <c r="M653">
        <v>2868.03</v>
      </c>
      <c r="N653">
        <v>2868.03</v>
      </c>
      <c r="O653">
        <v>2002</v>
      </c>
      <c r="P653">
        <v>866.0300000000002</v>
      </c>
    </row>
    <row r="654" spans="1:16" x14ac:dyDescent="0.3">
      <c r="A654" s="1">
        <v>45778</v>
      </c>
      <c r="B654" s="2" t="s">
        <v>65</v>
      </c>
      <c r="C654" s="2" t="s">
        <v>80</v>
      </c>
      <c r="D654" s="2" t="s">
        <v>50</v>
      </c>
      <c r="E654" s="2" t="s">
        <v>42</v>
      </c>
      <c r="F654" s="2" t="s">
        <v>43</v>
      </c>
      <c r="G654" s="2" t="s">
        <v>81</v>
      </c>
      <c r="H654">
        <v>1</v>
      </c>
      <c r="I654">
        <v>2</v>
      </c>
      <c r="J654">
        <v>103.01</v>
      </c>
      <c r="K654">
        <v>0.08</v>
      </c>
      <c r="L654">
        <v>54</v>
      </c>
      <c r="M654">
        <v>206.02</v>
      </c>
      <c r="N654">
        <v>189.53840000000002</v>
      </c>
      <c r="O654">
        <v>108</v>
      </c>
      <c r="P654">
        <v>81.538400000000024</v>
      </c>
    </row>
    <row r="655" spans="1:16" x14ac:dyDescent="0.3">
      <c r="A655" s="1">
        <v>45778</v>
      </c>
      <c r="B655" s="2" t="s">
        <v>39</v>
      </c>
      <c r="C655" s="2" t="s">
        <v>78</v>
      </c>
      <c r="D655" s="2" t="s">
        <v>41</v>
      </c>
      <c r="E655" s="2" t="s">
        <v>42</v>
      </c>
      <c r="F655" s="2" t="s">
        <v>43</v>
      </c>
      <c r="G655" s="2" t="s">
        <v>119</v>
      </c>
      <c r="H655">
        <v>2</v>
      </c>
      <c r="I655">
        <v>2</v>
      </c>
      <c r="J655">
        <v>565.26499999999999</v>
      </c>
      <c r="K655">
        <v>0</v>
      </c>
      <c r="L655">
        <v>351</v>
      </c>
      <c r="M655">
        <v>1130.53</v>
      </c>
      <c r="N655">
        <v>1130.53</v>
      </c>
      <c r="O655">
        <v>702</v>
      </c>
      <c r="P655">
        <v>428.53000000000003</v>
      </c>
    </row>
    <row r="656" spans="1:16" x14ac:dyDescent="0.3">
      <c r="A656" s="1">
        <v>45778</v>
      </c>
      <c r="B656" s="2" t="s">
        <v>75</v>
      </c>
      <c r="C656" s="2" t="s">
        <v>76</v>
      </c>
      <c r="D656" s="2" t="s">
        <v>50</v>
      </c>
      <c r="E656" s="2" t="s">
        <v>51</v>
      </c>
      <c r="F656" s="2" t="s">
        <v>52</v>
      </c>
      <c r="G656" s="2" t="s">
        <v>142</v>
      </c>
      <c r="H656">
        <v>1</v>
      </c>
      <c r="I656">
        <v>5</v>
      </c>
      <c r="J656">
        <v>38.01</v>
      </c>
      <c r="K656">
        <v>0.05</v>
      </c>
      <c r="L656">
        <v>18</v>
      </c>
      <c r="M656">
        <v>190.04999999999998</v>
      </c>
      <c r="N656">
        <v>180.54749999999999</v>
      </c>
      <c r="O656">
        <v>90</v>
      </c>
      <c r="P656">
        <v>90.547499999999985</v>
      </c>
    </row>
    <row r="657" spans="1:16" x14ac:dyDescent="0.3">
      <c r="A657" s="1">
        <v>45778</v>
      </c>
      <c r="B657" s="2" t="s">
        <v>56</v>
      </c>
      <c r="C657" s="2" t="s">
        <v>72</v>
      </c>
      <c r="D657" s="2" t="s">
        <v>46</v>
      </c>
      <c r="E657" s="2" t="s">
        <v>42</v>
      </c>
      <c r="F657" s="2" t="s">
        <v>43</v>
      </c>
      <c r="G657" s="2" t="s">
        <v>199</v>
      </c>
      <c r="H657">
        <v>1</v>
      </c>
      <c r="I657">
        <v>2</v>
      </c>
      <c r="J657">
        <v>109.82</v>
      </c>
      <c r="K657">
        <v>0.12</v>
      </c>
      <c r="L657">
        <v>54</v>
      </c>
      <c r="M657">
        <v>219.64</v>
      </c>
      <c r="N657">
        <v>193.28319999999999</v>
      </c>
      <c r="O657">
        <v>108</v>
      </c>
      <c r="P657">
        <v>85.283199999999994</v>
      </c>
    </row>
    <row r="658" spans="1:16" x14ac:dyDescent="0.3">
      <c r="A658" s="1">
        <v>45778</v>
      </c>
      <c r="B658" s="2" t="s">
        <v>39</v>
      </c>
      <c r="C658" s="2" t="s">
        <v>88</v>
      </c>
      <c r="D658" s="2" t="s">
        <v>41</v>
      </c>
      <c r="E658" s="2" t="s">
        <v>42</v>
      </c>
      <c r="F658" s="2" t="s">
        <v>43</v>
      </c>
      <c r="G658" s="2" t="s">
        <v>117</v>
      </c>
      <c r="H658">
        <v>1</v>
      </c>
      <c r="I658">
        <v>3</v>
      </c>
      <c r="J658">
        <v>303.27999999999997</v>
      </c>
      <c r="K658">
        <v>0</v>
      </c>
      <c r="L658">
        <v>182</v>
      </c>
      <c r="M658">
        <v>909.83999999999992</v>
      </c>
      <c r="N658">
        <v>909.83999999999992</v>
      </c>
      <c r="O658">
        <v>546</v>
      </c>
      <c r="P658">
        <v>363.83999999999992</v>
      </c>
    </row>
    <row r="659" spans="1:16" x14ac:dyDescent="0.3">
      <c r="A659" s="1">
        <v>45778</v>
      </c>
      <c r="B659" s="2" t="s">
        <v>39</v>
      </c>
      <c r="C659" s="2" t="s">
        <v>88</v>
      </c>
      <c r="D659" s="2" t="s">
        <v>41</v>
      </c>
      <c r="E659" s="2" t="s">
        <v>47</v>
      </c>
      <c r="F659" s="2" t="s">
        <v>43</v>
      </c>
      <c r="G659" s="2" t="s">
        <v>224</v>
      </c>
      <c r="H659">
        <v>1</v>
      </c>
      <c r="I659">
        <v>3</v>
      </c>
      <c r="J659">
        <v>863.67</v>
      </c>
      <c r="K659">
        <v>0</v>
      </c>
      <c r="L659">
        <v>520</v>
      </c>
      <c r="M659">
        <v>2591.0099999999998</v>
      </c>
      <c r="N659">
        <v>2591.0099999999998</v>
      </c>
      <c r="O659">
        <v>1560</v>
      </c>
      <c r="P659">
        <v>1031.0099999999998</v>
      </c>
    </row>
    <row r="660" spans="1:16" x14ac:dyDescent="0.3">
      <c r="A660" s="1">
        <v>45778</v>
      </c>
      <c r="B660" s="2" t="s">
        <v>39</v>
      </c>
      <c r="C660" s="2" t="s">
        <v>88</v>
      </c>
      <c r="D660" s="2" t="s">
        <v>50</v>
      </c>
      <c r="E660" s="2" t="s">
        <v>42</v>
      </c>
      <c r="F660" s="2" t="s">
        <v>43</v>
      </c>
      <c r="G660" s="2" t="s">
        <v>140</v>
      </c>
      <c r="H660">
        <v>2</v>
      </c>
      <c r="I660">
        <v>3</v>
      </c>
      <c r="J660">
        <v>721.62000000000012</v>
      </c>
      <c r="K660">
        <v>7.5000000000000011E-2</v>
      </c>
      <c r="L660">
        <v>471</v>
      </c>
      <c r="M660">
        <v>1725.5900000000001</v>
      </c>
      <c r="N660">
        <v>1581.2660000000001</v>
      </c>
      <c r="O660">
        <v>1124</v>
      </c>
      <c r="P660">
        <v>457.26600000000019</v>
      </c>
    </row>
    <row r="661" spans="1:16" x14ac:dyDescent="0.3">
      <c r="A661" s="1">
        <v>45778</v>
      </c>
      <c r="B661" s="2" t="s">
        <v>39</v>
      </c>
      <c r="C661" s="2" t="s">
        <v>88</v>
      </c>
      <c r="D661" s="2" t="s">
        <v>50</v>
      </c>
      <c r="E661" s="2" t="s">
        <v>42</v>
      </c>
      <c r="F661" s="2" t="s">
        <v>52</v>
      </c>
      <c r="G661" s="2" t="s">
        <v>140</v>
      </c>
      <c r="H661">
        <v>1</v>
      </c>
      <c r="I661">
        <v>1</v>
      </c>
      <c r="J661">
        <v>208.84</v>
      </c>
      <c r="K661">
        <v>0.1</v>
      </c>
      <c r="L661">
        <v>124</v>
      </c>
      <c r="M661">
        <v>208.84</v>
      </c>
      <c r="N661">
        <v>187.95600000000002</v>
      </c>
      <c r="O661">
        <v>124</v>
      </c>
      <c r="P661">
        <v>63.956000000000017</v>
      </c>
    </row>
    <row r="662" spans="1:16" x14ac:dyDescent="0.3">
      <c r="A662" s="1">
        <v>45778</v>
      </c>
      <c r="B662" s="2" t="s">
        <v>56</v>
      </c>
      <c r="C662" s="2" t="s">
        <v>62</v>
      </c>
      <c r="D662" s="2" t="s">
        <v>41</v>
      </c>
      <c r="E662" s="2" t="s">
        <v>51</v>
      </c>
      <c r="F662" s="2" t="s">
        <v>48</v>
      </c>
      <c r="G662" s="2" t="s">
        <v>193</v>
      </c>
      <c r="H662">
        <v>1</v>
      </c>
      <c r="I662">
        <v>7</v>
      </c>
      <c r="J662">
        <v>124.02</v>
      </c>
      <c r="K662">
        <v>0.1</v>
      </c>
      <c r="L662">
        <v>63</v>
      </c>
      <c r="M662">
        <v>868.14</v>
      </c>
      <c r="N662">
        <v>781.32600000000002</v>
      </c>
      <c r="O662">
        <v>441</v>
      </c>
      <c r="P662">
        <v>340.32600000000002</v>
      </c>
    </row>
    <row r="663" spans="1:16" x14ac:dyDescent="0.3">
      <c r="A663" s="1">
        <v>45778</v>
      </c>
      <c r="B663" s="2" t="s">
        <v>56</v>
      </c>
      <c r="C663" s="2" t="s">
        <v>62</v>
      </c>
      <c r="D663" s="2" t="s">
        <v>41</v>
      </c>
      <c r="E663" s="2" t="s">
        <v>51</v>
      </c>
      <c r="F663" s="2" t="s">
        <v>52</v>
      </c>
      <c r="G663" s="2" t="s">
        <v>193</v>
      </c>
      <c r="H663">
        <v>1</v>
      </c>
      <c r="I663">
        <v>4</v>
      </c>
      <c r="J663">
        <v>199.75</v>
      </c>
      <c r="K663">
        <v>0.05</v>
      </c>
      <c r="L663">
        <v>124</v>
      </c>
      <c r="M663">
        <v>799</v>
      </c>
      <c r="N663">
        <v>759.05</v>
      </c>
      <c r="O663">
        <v>496</v>
      </c>
      <c r="P663">
        <v>263.04999999999995</v>
      </c>
    </row>
    <row r="664" spans="1:16" x14ac:dyDescent="0.3">
      <c r="A664" s="1">
        <v>45778</v>
      </c>
      <c r="B664" s="2" t="s">
        <v>39</v>
      </c>
      <c r="C664" s="2" t="s">
        <v>40</v>
      </c>
      <c r="D664" s="2" t="s">
        <v>41</v>
      </c>
      <c r="E664" s="2" t="s">
        <v>47</v>
      </c>
      <c r="F664" s="2" t="s">
        <v>43</v>
      </c>
      <c r="G664" s="2" t="s">
        <v>64</v>
      </c>
      <c r="H664">
        <v>2</v>
      </c>
      <c r="I664">
        <v>6</v>
      </c>
      <c r="J664">
        <v>1023.44</v>
      </c>
      <c r="K664">
        <v>0</v>
      </c>
      <c r="L664">
        <v>640</v>
      </c>
      <c r="M664">
        <v>5841.22</v>
      </c>
      <c r="N664">
        <v>5841.22</v>
      </c>
      <c r="O664">
        <v>3600</v>
      </c>
      <c r="P664">
        <v>2241.2200000000003</v>
      </c>
    </row>
    <row r="665" spans="1:16" x14ac:dyDescent="0.3">
      <c r="A665" s="1">
        <v>45778</v>
      </c>
      <c r="B665" s="2" t="s">
        <v>39</v>
      </c>
      <c r="C665" s="2" t="s">
        <v>40</v>
      </c>
      <c r="D665" s="2" t="s">
        <v>41</v>
      </c>
      <c r="E665" s="2" t="s">
        <v>47</v>
      </c>
      <c r="F665" s="2" t="s">
        <v>48</v>
      </c>
      <c r="G665" s="2" t="s">
        <v>64</v>
      </c>
      <c r="H665">
        <v>1</v>
      </c>
      <c r="I665">
        <v>1</v>
      </c>
      <c r="J665">
        <v>72.55</v>
      </c>
      <c r="K665">
        <v>0</v>
      </c>
      <c r="L665">
        <v>31</v>
      </c>
      <c r="M665">
        <v>72.55</v>
      </c>
      <c r="N665">
        <v>72.55</v>
      </c>
      <c r="O665">
        <v>31</v>
      </c>
      <c r="P665">
        <v>41.55</v>
      </c>
    </row>
    <row r="666" spans="1:16" x14ac:dyDescent="0.3">
      <c r="A666" s="1">
        <v>45778</v>
      </c>
      <c r="B666" s="2" t="s">
        <v>39</v>
      </c>
      <c r="C666" s="2" t="s">
        <v>88</v>
      </c>
      <c r="D666" s="2" t="s">
        <v>50</v>
      </c>
      <c r="E666" s="2" t="s">
        <v>42</v>
      </c>
      <c r="F666" s="2" t="s">
        <v>43</v>
      </c>
      <c r="G666" s="2" t="s">
        <v>186</v>
      </c>
      <c r="H666">
        <v>1</v>
      </c>
      <c r="I666">
        <v>1</v>
      </c>
      <c r="J666">
        <v>603.01</v>
      </c>
      <c r="K666">
        <v>0</v>
      </c>
      <c r="L666">
        <v>395</v>
      </c>
      <c r="M666">
        <v>603.01</v>
      </c>
      <c r="N666">
        <v>603.01</v>
      </c>
      <c r="O666">
        <v>395</v>
      </c>
      <c r="P666">
        <v>208.01</v>
      </c>
    </row>
    <row r="667" spans="1:16" x14ac:dyDescent="0.3">
      <c r="A667" s="1">
        <v>45809</v>
      </c>
      <c r="B667" s="2" t="s">
        <v>39</v>
      </c>
      <c r="C667" s="2" t="s">
        <v>78</v>
      </c>
      <c r="D667" s="2" t="s">
        <v>50</v>
      </c>
      <c r="E667" s="2" t="s">
        <v>47</v>
      </c>
      <c r="F667" s="2" t="s">
        <v>43</v>
      </c>
      <c r="G667" s="2" t="s">
        <v>190</v>
      </c>
      <c r="H667">
        <v>1</v>
      </c>
      <c r="I667">
        <v>2</v>
      </c>
      <c r="J667">
        <v>299.77999999999997</v>
      </c>
      <c r="K667">
        <v>0.1</v>
      </c>
      <c r="L667">
        <v>182</v>
      </c>
      <c r="M667">
        <v>599.55999999999995</v>
      </c>
      <c r="N667">
        <v>539.60399999999993</v>
      </c>
      <c r="O667">
        <v>364</v>
      </c>
      <c r="P667">
        <v>175.60399999999993</v>
      </c>
    </row>
    <row r="668" spans="1:16" x14ac:dyDescent="0.3">
      <c r="A668" s="1">
        <v>45809</v>
      </c>
      <c r="B668" s="2" t="s">
        <v>39</v>
      </c>
      <c r="C668" s="2" t="s">
        <v>54</v>
      </c>
      <c r="D668" s="2" t="s">
        <v>41</v>
      </c>
      <c r="E668" s="2" t="s">
        <v>47</v>
      </c>
      <c r="F668" s="2" t="s">
        <v>52</v>
      </c>
      <c r="G668" s="2" t="s">
        <v>69</v>
      </c>
      <c r="H668">
        <v>1</v>
      </c>
      <c r="I668">
        <v>1</v>
      </c>
      <c r="J668">
        <v>45.64</v>
      </c>
      <c r="K668">
        <v>0</v>
      </c>
      <c r="L668">
        <v>18</v>
      </c>
      <c r="M668">
        <v>45.64</v>
      </c>
      <c r="N668">
        <v>45.64</v>
      </c>
      <c r="O668">
        <v>18</v>
      </c>
      <c r="P668">
        <v>27.64</v>
      </c>
    </row>
    <row r="669" spans="1:16" x14ac:dyDescent="0.3">
      <c r="A669" s="1">
        <v>45809</v>
      </c>
      <c r="B669" s="2" t="s">
        <v>75</v>
      </c>
      <c r="C669" s="2" t="s">
        <v>101</v>
      </c>
      <c r="D669" s="2" t="s">
        <v>46</v>
      </c>
      <c r="E669" s="2" t="s">
        <v>42</v>
      </c>
      <c r="F669" s="2" t="s">
        <v>43</v>
      </c>
      <c r="G669" s="2" t="s">
        <v>102</v>
      </c>
      <c r="H669">
        <v>2</v>
      </c>
      <c r="I669">
        <v>5</v>
      </c>
      <c r="J669">
        <v>570.41</v>
      </c>
      <c r="K669">
        <v>0.05</v>
      </c>
      <c r="L669">
        <v>351</v>
      </c>
      <c r="M669">
        <v>3132.89</v>
      </c>
      <c r="N669">
        <v>2976.2455</v>
      </c>
      <c r="O669">
        <v>1924</v>
      </c>
      <c r="P669">
        <v>1052.2455</v>
      </c>
    </row>
    <row r="670" spans="1:16" x14ac:dyDescent="0.3">
      <c r="A670" s="1">
        <v>45809</v>
      </c>
      <c r="B670" s="2" t="s">
        <v>39</v>
      </c>
      <c r="C670" s="2" t="s">
        <v>88</v>
      </c>
      <c r="D670" s="2" t="s">
        <v>46</v>
      </c>
      <c r="E670" s="2" t="s">
        <v>42</v>
      </c>
      <c r="F670" s="2" t="s">
        <v>43</v>
      </c>
      <c r="G670" s="2" t="s">
        <v>105</v>
      </c>
      <c r="H670">
        <v>2</v>
      </c>
      <c r="I670">
        <v>4</v>
      </c>
      <c r="J670">
        <v>170.98</v>
      </c>
      <c r="K670">
        <v>0.12</v>
      </c>
      <c r="L670">
        <v>86</v>
      </c>
      <c r="M670">
        <v>683.92</v>
      </c>
      <c r="N670">
        <v>601.84960000000001</v>
      </c>
      <c r="O670">
        <v>344</v>
      </c>
      <c r="P670">
        <v>257.84960000000001</v>
      </c>
    </row>
    <row r="671" spans="1:16" x14ac:dyDescent="0.3">
      <c r="A671" s="1">
        <v>45809</v>
      </c>
      <c r="B671" s="2" t="s">
        <v>83</v>
      </c>
      <c r="C671" s="2" t="s">
        <v>84</v>
      </c>
      <c r="D671" s="2" t="s">
        <v>41</v>
      </c>
      <c r="E671" s="2" t="s">
        <v>42</v>
      </c>
      <c r="F671" s="2" t="s">
        <v>43</v>
      </c>
      <c r="G671" s="2" t="s">
        <v>160</v>
      </c>
      <c r="H671">
        <v>3</v>
      </c>
      <c r="I671">
        <v>5</v>
      </c>
      <c r="J671">
        <v>583.14333333333343</v>
      </c>
      <c r="K671">
        <v>0</v>
      </c>
      <c r="L671">
        <v>374.66666666666663</v>
      </c>
      <c r="M671">
        <v>3197.2400000000002</v>
      </c>
      <c r="N671">
        <v>3197.2400000000002</v>
      </c>
      <c r="O671">
        <v>2066</v>
      </c>
      <c r="P671">
        <v>1131.2400000000002</v>
      </c>
    </row>
    <row r="672" spans="1:16" x14ac:dyDescent="0.3">
      <c r="A672" s="1">
        <v>45809</v>
      </c>
      <c r="B672" s="2" t="s">
        <v>39</v>
      </c>
      <c r="C672" s="2" t="s">
        <v>92</v>
      </c>
      <c r="D672" s="2" t="s">
        <v>50</v>
      </c>
      <c r="E672" s="2" t="s">
        <v>51</v>
      </c>
      <c r="F672" s="2" t="s">
        <v>43</v>
      </c>
      <c r="G672" s="2" t="s">
        <v>104</v>
      </c>
      <c r="H672">
        <v>1</v>
      </c>
      <c r="I672">
        <v>4</v>
      </c>
      <c r="J672">
        <v>557.54</v>
      </c>
      <c r="K672">
        <v>0.08</v>
      </c>
      <c r="L672">
        <v>395</v>
      </c>
      <c r="M672">
        <v>2230.16</v>
      </c>
      <c r="N672">
        <v>2051.7471999999998</v>
      </c>
      <c r="O672">
        <v>1580</v>
      </c>
      <c r="P672">
        <v>471.74719999999979</v>
      </c>
    </row>
    <row r="673" spans="1:16" x14ac:dyDescent="0.3">
      <c r="A673" s="1">
        <v>45809</v>
      </c>
      <c r="B673" s="2" t="s">
        <v>39</v>
      </c>
      <c r="C673" s="2" t="s">
        <v>40</v>
      </c>
      <c r="D673" s="2" t="s">
        <v>46</v>
      </c>
      <c r="E673" s="2" t="s">
        <v>42</v>
      </c>
      <c r="F673" s="2" t="s">
        <v>43</v>
      </c>
      <c r="G673" s="2" t="s">
        <v>118</v>
      </c>
      <c r="H673">
        <v>1</v>
      </c>
      <c r="I673">
        <v>2</v>
      </c>
      <c r="J673">
        <v>105.17</v>
      </c>
      <c r="K673">
        <v>0.1</v>
      </c>
      <c r="L673">
        <v>54</v>
      </c>
      <c r="M673">
        <v>210.34</v>
      </c>
      <c r="N673">
        <v>189.30600000000001</v>
      </c>
      <c r="O673">
        <v>108</v>
      </c>
      <c r="P673">
        <v>81.306000000000012</v>
      </c>
    </row>
    <row r="674" spans="1:16" x14ac:dyDescent="0.3">
      <c r="A674" s="1">
        <v>45809</v>
      </c>
      <c r="B674" s="2" t="s">
        <v>39</v>
      </c>
      <c r="C674" s="2" t="s">
        <v>152</v>
      </c>
      <c r="D674" s="2" t="s">
        <v>41</v>
      </c>
      <c r="E674" s="2" t="s">
        <v>47</v>
      </c>
      <c r="F674" s="2" t="s">
        <v>43</v>
      </c>
      <c r="G674" s="2" t="s">
        <v>153</v>
      </c>
      <c r="H674">
        <v>1</v>
      </c>
      <c r="I674">
        <v>3</v>
      </c>
      <c r="J674">
        <v>302.83</v>
      </c>
      <c r="K674">
        <v>0</v>
      </c>
      <c r="L674">
        <v>182</v>
      </c>
      <c r="M674">
        <v>908.49</v>
      </c>
      <c r="N674">
        <v>908.49</v>
      </c>
      <c r="O674">
        <v>546</v>
      </c>
      <c r="P674">
        <v>362.49</v>
      </c>
    </row>
    <row r="675" spans="1:16" x14ac:dyDescent="0.3">
      <c r="A675" s="1">
        <v>45809</v>
      </c>
      <c r="B675" s="2" t="s">
        <v>39</v>
      </c>
      <c r="C675" s="2" t="s">
        <v>40</v>
      </c>
      <c r="D675" s="2" t="s">
        <v>50</v>
      </c>
      <c r="E675" s="2" t="s">
        <v>42</v>
      </c>
      <c r="F675" s="2" t="s">
        <v>43</v>
      </c>
      <c r="G675" s="2" t="s">
        <v>115</v>
      </c>
      <c r="H675">
        <v>1</v>
      </c>
      <c r="I675">
        <v>1</v>
      </c>
      <c r="J675">
        <v>110.79</v>
      </c>
      <c r="K675">
        <v>0.12</v>
      </c>
      <c r="L675">
        <v>54</v>
      </c>
      <c r="M675">
        <v>110.79</v>
      </c>
      <c r="N675">
        <v>97.495200000000011</v>
      </c>
      <c r="O675">
        <v>54</v>
      </c>
      <c r="P675">
        <v>43.495200000000011</v>
      </c>
    </row>
    <row r="676" spans="1:16" x14ac:dyDescent="0.3">
      <c r="A676" s="1">
        <v>45809</v>
      </c>
      <c r="B676" s="2" t="s">
        <v>56</v>
      </c>
      <c r="C676" s="2" t="s">
        <v>57</v>
      </c>
      <c r="D676" s="2" t="s">
        <v>46</v>
      </c>
      <c r="E676" s="2" t="s">
        <v>42</v>
      </c>
      <c r="F676" s="2" t="s">
        <v>48</v>
      </c>
      <c r="G676" s="2" t="s">
        <v>58</v>
      </c>
      <c r="H676">
        <v>1</v>
      </c>
      <c r="I676">
        <v>3</v>
      </c>
      <c r="J676">
        <v>96.5</v>
      </c>
      <c r="K676">
        <v>0.05</v>
      </c>
      <c r="L676">
        <v>39</v>
      </c>
      <c r="M676">
        <v>289.5</v>
      </c>
      <c r="N676">
        <v>275.02499999999998</v>
      </c>
      <c r="O676">
        <v>117</v>
      </c>
      <c r="P676">
        <v>158.02499999999998</v>
      </c>
    </row>
    <row r="677" spans="1:16" x14ac:dyDescent="0.3">
      <c r="A677" s="1">
        <v>45809</v>
      </c>
      <c r="B677" s="2" t="s">
        <v>197</v>
      </c>
      <c r="C677" s="2" t="s">
        <v>45</v>
      </c>
      <c r="D677" s="2" t="s">
        <v>50</v>
      </c>
      <c r="E677" s="2" t="s">
        <v>42</v>
      </c>
      <c r="F677" s="2" t="s">
        <v>48</v>
      </c>
      <c r="G677" s="2" t="s">
        <v>226</v>
      </c>
      <c r="H677">
        <v>1</v>
      </c>
      <c r="I677">
        <v>4</v>
      </c>
      <c r="J677">
        <v>24.05</v>
      </c>
      <c r="K677">
        <v>0.05</v>
      </c>
      <c r="L677">
        <v>8</v>
      </c>
      <c r="M677">
        <v>96.2</v>
      </c>
      <c r="N677">
        <v>91.39</v>
      </c>
      <c r="O677">
        <v>32</v>
      </c>
      <c r="P677">
        <v>59.39</v>
      </c>
    </row>
    <row r="678" spans="1:16" x14ac:dyDescent="0.3">
      <c r="A678" s="1">
        <v>45809</v>
      </c>
      <c r="B678" s="2" t="s">
        <v>197</v>
      </c>
      <c r="C678" s="2" t="s">
        <v>45</v>
      </c>
      <c r="D678" s="2" t="s">
        <v>50</v>
      </c>
      <c r="E678" s="2" t="s">
        <v>42</v>
      </c>
      <c r="F678" s="2" t="s">
        <v>43</v>
      </c>
      <c r="G678" s="2" t="s">
        <v>226</v>
      </c>
      <c r="H678">
        <v>2</v>
      </c>
      <c r="I678">
        <v>4</v>
      </c>
      <c r="J678">
        <v>142.76499999999999</v>
      </c>
      <c r="K678">
        <v>8.4999999999999992E-2</v>
      </c>
      <c r="L678">
        <v>70</v>
      </c>
      <c r="M678">
        <v>493.78999999999996</v>
      </c>
      <c r="N678">
        <v>456.40249999999997</v>
      </c>
      <c r="O678">
        <v>248</v>
      </c>
      <c r="P678">
        <v>208.40249999999997</v>
      </c>
    </row>
    <row r="679" spans="1:16" x14ac:dyDescent="0.3">
      <c r="A679" s="1">
        <v>45809</v>
      </c>
      <c r="B679" s="2" t="s">
        <v>56</v>
      </c>
      <c r="C679" s="2" t="s">
        <v>57</v>
      </c>
      <c r="D679" s="2" t="s">
        <v>46</v>
      </c>
      <c r="E679" s="2" t="s">
        <v>51</v>
      </c>
      <c r="F679" s="2" t="s">
        <v>48</v>
      </c>
      <c r="G679" s="2" t="s">
        <v>219</v>
      </c>
      <c r="H679">
        <v>1</v>
      </c>
      <c r="I679">
        <v>6</v>
      </c>
      <c r="J679">
        <v>121.45</v>
      </c>
      <c r="K679">
        <v>0.08</v>
      </c>
      <c r="L679">
        <v>63</v>
      </c>
      <c r="M679">
        <v>728.7</v>
      </c>
      <c r="N679">
        <v>670.40400000000011</v>
      </c>
      <c r="O679">
        <v>378</v>
      </c>
      <c r="P679">
        <v>292.40400000000011</v>
      </c>
    </row>
    <row r="680" spans="1:16" x14ac:dyDescent="0.3">
      <c r="A680" s="1">
        <v>45809</v>
      </c>
      <c r="B680" s="2" t="s">
        <v>65</v>
      </c>
      <c r="C680" s="2" t="s">
        <v>66</v>
      </c>
      <c r="D680" s="2" t="s">
        <v>41</v>
      </c>
      <c r="E680" s="2" t="s">
        <v>47</v>
      </c>
      <c r="F680" s="2" t="s">
        <v>48</v>
      </c>
      <c r="G680" s="2" t="s">
        <v>67</v>
      </c>
      <c r="H680">
        <v>1</v>
      </c>
      <c r="I680">
        <v>6</v>
      </c>
      <c r="J680">
        <v>24.71</v>
      </c>
      <c r="K680">
        <v>0</v>
      </c>
      <c r="L680">
        <v>8</v>
      </c>
      <c r="M680">
        <v>148.26</v>
      </c>
      <c r="N680">
        <v>148.26</v>
      </c>
      <c r="O680">
        <v>48</v>
      </c>
      <c r="P680">
        <v>100.25999999999999</v>
      </c>
    </row>
    <row r="681" spans="1:16" x14ac:dyDescent="0.3">
      <c r="A681" s="1">
        <v>45809</v>
      </c>
      <c r="B681" s="2" t="s">
        <v>65</v>
      </c>
      <c r="C681" s="2" t="s">
        <v>66</v>
      </c>
      <c r="D681" s="2" t="s">
        <v>41</v>
      </c>
      <c r="E681" s="2" t="s">
        <v>51</v>
      </c>
      <c r="F681" s="2" t="s">
        <v>52</v>
      </c>
      <c r="G681" s="2" t="s">
        <v>67</v>
      </c>
      <c r="H681">
        <v>1</v>
      </c>
      <c r="I681">
        <v>9</v>
      </c>
      <c r="J681">
        <v>39.11</v>
      </c>
      <c r="K681">
        <v>0</v>
      </c>
      <c r="L681">
        <v>18</v>
      </c>
      <c r="M681">
        <v>351.99</v>
      </c>
      <c r="N681">
        <v>351.99</v>
      </c>
      <c r="O681">
        <v>162</v>
      </c>
      <c r="P681">
        <v>189.99</v>
      </c>
    </row>
    <row r="682" spans="1:16" x14ac:dyDescent="0.3">
      <c r="A682" s="1">
        <v>45809</v>
      </c>
      <c r="B682" s="2" t="s">
        <v>39</v>
      </c>
      <c r="C682" s="2" t="s">
        <v>45</v>
      </c>
      <c r="D682" s="2" t="s">
        <v>41</v>
      </c>
      <c r="E682" s="2" t="s">
        <v>42</v>
      </c>
      <c r="F682" s="2" t="s">
        <v>43</v>
      </c>
      <c r="G682" s="2" t="s">
        <v>201</v>
      </c>
      <c r="H682">
        <v>1</v>
      </c>
      <c r="I682">
        <v>2</v>
      </c>
      <c r="J682">
        <v>1187.6500000000001</v>
      </c>
      <c r="K682">
        <v>0</v>
      </c>
      <c r="L682">
        <v>760</v>
      </c>
      <c r="M682">
        <v>2375.3000000000002</v>
      </c>
      <c r="N682">
        <v>2375.3000000000002</v>
      </c>
      <c r="O682">
        <v>1520</v>
      </c>
      <c r="P682">
        <v>855.30000000000018</v>
      </c>
    </row>
    <row r="683" spans="1:16" x14ac:dyDescent="0.3">
      <c r="A683" s="1">
        <v>45809</v>
      </c>
      <c r="B683" s="2" t="s">
        <v>39</v>
      </c>
      <c r="C683" s="2" t="s">
        <v>40</v>
      </c>
      <c r="D683" s="2" t="s">
        <v>41</v>
      </c>
      <c r="E683" s="2" t="s">
        <v>42</v>
      </c>
      <c r="F683" s="2" t="s">
        <v>43</v>
      </c>
      <c r="G683" s="2" t="s">
        <v>189</v>
      </c>
      <c r="H683">
        <v>1</v>
      </c>
      <c r="I683">
        <v>1</v>
      </c>
      <c r="J683">
        <v>169.55</v>
      </c>
      <c r="K683">
        <v>0.1</v>
      </c>
      <c r="L683">
        <v>86</v>
      </c>
      <c r="M683">
        <v>169.55</v>
      </c>
      <c r="N683">
        <v>152.59500000000003</v>
      </c>
      <c r="O683">
        <v>86</v>
      </c>
      <c r="P683">
        <v>66.595000000000027</v>
      </c>
    </row>
    <row r="684" spans="1:16" x14ac:dyDescent="0.3">
      <c r="A684" s="1">
        <v>45809</v>
      </c>
      <c r="B684" s="2" t="s">
        <v>39</v>
      </c>
      <c r="C684" s="2" t="s">
        <v>45</v>
      </c>
      <c r="D684" s="2" t="s">
        <v>41</v>
      </c>
      <c r="E684" s="2" t="s">
        <v>47</v>
      </c>
      <c r="F684" s="2" t="s">
        <v>48</v>
      </c>
      <c r="G684" s="2" t="s">
        <v>129</v>
      </c>
      <c r="H684">
        <v>1</v>
      </c>
      <c r="I684">
        <v>4</v>
      </c>
      <c r="J684">
        <v>98.38</v>
      </c>
      <c r="K684">
        <v>0</v>
      </c>
      <c r="L684">
        <v>39</v>
      </c>
      <c r="M684">
        <v>393.52</v>
      </c>
      <c r="N684">
        <v>393.52</v>
      </c>
      <c r="O684">
        <v>156</v>
      </c>
      <c r="P684">
        <v>237.51999999999998</v>
      </c>
    </row>
    <row r="685" spans="1:16" x14ac:dyDescent="0.3">
      <c r="A685" s="1">
        <v>45809</v>
      </c>
      <c r="B685" s="2" t="s">
        <v>39</v>
      </c>
      <c r="C685" s="2" t="s">
        <v>45</v>
      </c>
      <c r="D685" s="2" t="s">
        <v>50</v>
      </c>
      <c r="E685" s="2" t="s">
        <v>42</v>
      </c>
      <c r="F685" s="2" t="s">
        <v>48</v>
      </c>
      <c r="G685" s="2" t="s">
        <v>209</v>
      </c>
      <c r="H685">
        <v>2</v>
      </c>
      <c r="I685">
        <v>3</v>
      </c>
      <c r="J685">
        <v>83.37</v>
      </c>
      <c r="K685">
        <v>6.5000000000000002E-2</v>
      </c>
      <c r="L685">
        <v>35</v>
      </c>
      <c r="M685">
        <v>262.76</v>
      </c>
      <c r="N685">
        <v>243.86080000000001</v>
      </c>
      <c r="O685">
        <v>109</v>
      </c>
      <c r="P685">
        <v>134.86080000000001</v>
      </c>
    </row>
    <row r="686" spans="1:16" x14ac:dyDescent="0.3">
      <c r="A686" s="1">
        <v>45809</v>
      </c>
      <c r="B686" s="2" t="s">
        <v>39</v>
      </c>
      <c r="C686" s="2" t="s">
        <v>92</v>
      </c>
      <c r="D686" s="2" t="s">
        <v>41</v>
      </c>
      <c r="E686" s="2" t="s">
        <v>42</v>
      </c>
      <c r="F686" s="2" t="s">
        <v>48</v>
      </c>
      <c r="G686" s="2" t="s">
        <v>225</v>
      </c>
      <c r="H686">
        <v>2</v>
      </c>
      <c r="I686">
        <v>2</v>
      </c>
      <c r="J686">
        <v>58.055</v>
      </c>
      <c r="K686">
        <v>0.05</v>
      </c>
      <c r="L686">
        <v>23.5</v>
      </c>
      <c r="M686">
        <v>116.11</v>
      </c>
      <c r="N686">
        <v>106.922</v>
      </c>
      <c r="O686">
        <v>47</v>
      </c>
      <c r="P686">
        <v>59.921999999999997</v>
      </c>
    </row>
    <row r="687" spans="1:16" x14ac:dyDescent="0.3">
      <c r="A687" s="1">
        <v>45809</v>
      </c>
      <c r="B687" s="2" t="s">
        <v>39</v>
      </c>
      <c r="C687" s="2" t="s">
        <v>88</v>
      </c>
      <c r="D687" s="2" t="s">
        <v>41</v>
      </c>
      <c r="E687" s="2" t="s">
        <v>47</v>
      </c>
      <c r="F687" s="2" t="s">
        <v>43</v>
      </c>
      <c r="G687" s="2" t="s">
        <v>154</v>
      </c>
      <c r="H687">
        <v>1</v>
      </c>
      <c r="I687">
        <v>1</v>
      </c>
      <c r="J687">
        <v>1184.55</v>
      </c>
      <c r="K687">
        <v>0</v>
      </c>
      <c r="L687">
        <v>760</v>
      </c>
      <c r="M687">
        <v>1184.55</v>
      </c>
      <c r="N687">
        <v>1184.55</v>
      </c>
      <c r="O687">
        <v>760</v>
      </c>
      <c r="P687">
        <v>424.54999999999995</v>
      </c>
    </row>
    <row r="688" spans="1:16" x14ac:dyDescent="0.3">
      <c r="A688" s="1">
        <v>45809</v>
      </c>
      <c r="B688" s="2" t="s">
        <v>39</v>
      </c>
      <c r="C688" s="2" t="s">
        <v>88</v>
      </c>
      <c r="D688" s="2" t="s">
        <v>41</v>
      </c>
      <c r="E688" s="2" t="s">
        <v>47</v>
      </c>
      <c r="F688" s="2" t="s">
        <v>48</v>
      </c>
      <c r="G688" s="2" t="s">
        <v>154</v>
      </c>
      <c r="H688">
        <v>1</v>
      </c>
      <c r="I688">
        <v>30</v>
      </c>
      <c r="J688">
        <v>136.94999999999999</v>
      </c>
      <c r="K688">
        <v>0</v>
      </c>
      <c r="L688">
        <v>1</v>
      </c>
      <c r="M688">
        <v>4108.5</v>
      </c>
      <c r="N688">
        <v>4108.5</v>
      </c>
      <c r="O688">
        <v>30</v>
      </c>
      <c r="P688">
        <v>4078.5</v>
      </c>
    </row>
    <row r="689" spans="1:16" x14ac:dyDescent="0.3">
      <c r="A689" s="1">
        <v>45809</v>
      </c>
      <c r="B689" s="2" t="s">
        <v>65</v>
      </c>
      <c r="C689" s="2" t="s">
        <v>134</v>
      </c>
      <c r="D689" s="2" t="s">
        <v>41</v>
      </c>
      <c r="E689" s="2" t="s">
        <v>42</v>
      </c>
      <c r="F689" s="2" t="s">
        <v>43</v>
      </c>
      <c r="G689" s="2" t="s">
        <v>227</v>
      </c>
      <c r="H689">
        <v>1</v>
      </c>
      <c r="I689">
        <v>1</v>
      </c>
      <c r="J689">
        <v>170.99</v>
      </c>
      <c r="K689">
        <v>0.1</v>
      </c>
      <c r="L689">
        <v>86</v>
      </c>
      <c r="M689">
        <v>170.99</v>
      </c>
      <c r="N689">
        <v>153.89100000000002</v>
      </c>
      <c r="O689">
        <v>86</v>
      </c>
      <c r="P689">
        <v>67.89100000000002</v>
      </c>
    </row>
    <row r="690" spans="1:16" x14ac:dyDescent="0.3">
      <c r="A690" s="1">
        <v>45809</v>
      </c>
      <c r="B690" s="2" t="s">
        <v>83</v>
      </c>
      <c r="C690" s="2" t="s">
        <v>84</v>
      </c>
      <c r="D690" s="2" t="s">
        <v>50</v>
      </c>
      <c r="E690" s="2" t="s">
        <v>42</v>
      </c>
      <c r="F690" s="2" t="s">
        <v>43</v>
      </c>
      <c r="G690" s="2" t="s">
        <v>91</v>
      </c>
      <c r="H690">
        <v>1</v>
      </c>
      <c r="I690">
        <v>3</v>
      </c>
      <c r="J690">
        <v>847.31</v>
      </c>
      <c r="K690">
        <v>0.1</v>
      </c>
      <c r="L690">
        <v>520</v>
      </c>
      <c r="M690">
        <v>2541.9299999999998</v>
      </c>
      <c r="N690">
        <v>2287.7370000000001</v>
      </c>
      <c r="O690">
        <v>1560</v>
      </c>
      <c r="P690">
        <v>727.73700000000008</v>
      </c>
    </row>
    <row r="691" spans="1:16" x14ac:dyDescent="0.3">
      <c r="A691" s="1">
        <v>45809</v>
      </c>
      <c r="B691" s="2" t="s">
        <v>75</v>
      </c>
      <c r="C691" s="2" t="s">
        <v>101</v>
      </c>
      <c r="D691" s="2" t="s">
        <v>50</v>
      </c>
      <c r="E691" s="2" t="s">
        <v>51</v>
      </c>
      <c r="F691" s="2" t="s">
        <v>43</v>
      </c>
      <c r="G691" s="2" t="s">
        <v>162</v>
      </c>
      <c r="H691">
        <v>2</v>
      </c>
      <c r="I691">
        <v>17</v>
      </c>
      <c r="J691">
        <v>423.52499999999998</v>
      </c>
      <c r="K691">
        <v>0.04</v>
      </c>
      <c r="L691">
        <v>287</v>
      </c>
      <c r="M691">
        <v>7526.7</v>
      </c>
      <c r="N691">
        <v>6986.4840000000004</v>
      </c>
      <c r="O691">
        <v>5112</v>
      </c>
      <c r="P691">
        <v>1874.4840000000004</v>
      </c>
    </row>
    <row r="692" spans="1:16" x14ac:dyDescent="0.3">
      <c r="A692" s="1">
        <v>45809</v>
      </c>
      <c r="B692" s="2" t="s">
        <v>56</v>
      </c>
      <c r="C692" s="2" t="s">
        <v>57</v>
      </c>
      <c r="D692" s="2" t="s">
        <v>50</v>
      </c>
      <c r="E692" s="2" t="s">
        <v>47</v>
      </c>
      <c r="F692" s="2" t="s">
        <v>48</v>
      </c>
      <c r="G692" s="2" t="s">
        <v>212</v>
      </c>
      <c r="H692">
        <v>1</v>
      </c>
      <c r="I692">
        <v>4</v>
      </c>
      <c r="J692">
        <v>96.63</v>
      </c>
      <c r="K692">
        <v>0.08</v>
      </c>
      <c r="L692">
        <v>39</v>
      </c>
      <c r="M692">
        <v>386.52</v>
      </c>
      <c r="N692">
        <v>355.59840000000003</v>
      </c>
      <c r="O692">
        <v>156</v>
      </c>
      <c r="P692">
        <v>199.59840000000003</v>
      </c>
    </row>
    <row r="693" spans="1:16" x14ac:dyDescent="0.3">
      <c r="A693" s="1">
        <v>45809</v>
      </c>
      <c r="B693" s="2" t="s">
        <v>39</v>
      </c>
      <c r="C693" s="2" t="s">
        <v>40</v>
      </c>
      <c r="D693" s="2" t="s">
        <v>41</v>
      </c>
      <c r="E693" s="2" t="s">
        <v>42</v>
      </c>
      <c r="F693" s="2" t="s">
        <v>48</v>
      </c>
      <c r="G693" s="2" t="s">
        <v>159</v>
      </c>
      <c r="H693">
        <v>1</v>
      </c>
      <c r="I693">
        <v>1</v>
      </c>
      <c r="J693">
        <v>95</v>
      </c>
      <c r="K693">
        <v>0</v>
      </c>
      <c r="L693">
        <v>39</v>
      </c>
      <c r="M693">
        <v>95</v>
      </c>
      <c r="N693">
        <v>95</v>
      </c>
      <c r="O693">
        <v>39</v>
      </c>
      <c r="P693">
        <v>56</v>
      </c>
    </row>
    <row r="694" spans="1:16" x14ac:dyDescent="0.3">
      <c r="A694" s="1">
        <v>45809</v>
      </c>
      <c r="B694" s="2" t="s">
        <v>39</v>
      </c>
      <c r="C694" s="2" t="s">
        <v>78</v>
      </c>
      <c r="D694" s="2" t="s">
        <v>41</v>
      </c>
      <c r="E694" s="2" t="s">
        <v>47</v>
      </c>
      <c r="F694" s="2" t="s">
        <v>48</v>
      </c>
      <c r="G694" s="2" t="s">
        <v>108</v>
      </c>
      <c r="H694">
        <v>1</v>
      </c>
      <c r="I694">
        <v>6</v>
      </c>
      <c r="J694">
        <v>142.94</v>
      </c>
      <c r="K694">
        <v>0</v>
      </c>
      <c r="L694">
        <v>63</v>
      </c>
      <c r="M694">
        <v>857.64</v>
      </c>
      <c r="N694">
        <v>857.64</v>
      </c>
      <c r="O694">
        <v>378</v>
      </c>
      <c r="P694">
        <v>479.64</v>
      </c>
    </row>
    <row r="695" spans="1:16" x14ac:dyDescent="0.3">
      <c r="A695" s="1">
        <v>45809</v>
      </c>
      <c r="B695" s="2" t="s">
        <v>65</v>
      </c>
      <c r="C695" s="2" t="s">
        <v>80</v>
      </c>
      <c r="D695" s="2" t="s">
        <v>46</v>
      </c>
      <c r="E695" s="2" t="s">
        <v>47</v>
      </c>
      <c r="F695" s="2" t="s">
        <v>43</v>
      </c>
      <c r="G695" s="2" t="s">
        <v>213</v>
      </c>
      <c r="H695">
        <v>1</v>
      </c>
      <c r="I695">
        <v>2</v>
      </c>
      <c r="J695">
        <v>304.98</v>
      </c>
      <c r="K695">
        <v>0.1</v>
      </c>
      <c r="L695">
        <v>182</v>
      </c>
      <c r="M695">
        <v>609.96</v>
      </c>
      <c r="N695">
        <v>548.96400000000006</v>
      </c>
      <c r="O695">
        <v>364</v>
      </c>
      <c r="P695">
        <v>184.96400000000006</v>
      </c>
    </row>
    <row r="696" spans="1:16" x14ac:dyDescent="0.3">
      <c r="A696" s="1">
        <v>45809</v>
      </c>
      <c r="B696" s="2" t="s">
        <v>39</v>
      </c>
      <c r="C696" s="2" t="s">
        <v>40</v>
      </c>
      <c r="D696" s="2" t="s">
        <v>41</v>
      </c>
      <c r="E696" s="2" t="s">
        <v>42</v>
      </c>
      <c r="F696" s="2" t="s">
        <v>48</v>
      </c>
      <c r="G696" s="2" t="s">
        <v>86</v>
      </c>
      <c r="H696">
        <v>1</v>
      </c>
      <c r="I696">
        <v>3</v>
      </c>
      <c r="J696">
        <v>71.540000000000006</v>
      </c>
      <c r="K696">
        <v>0</v>
      </c>
      <c r="L696">
        <v>31</v>
      </c>
      <c r="M696">
        <v>214.62</v>
      </c>
      <c r="N696">
        <v>214.62</v>
      </c>
      <c r="O696">
        <v>93</v>
      </c>
      <c r="P696">
        <v>121.62</v>
      </c>
    </row>
    <row r="697" spans="1:16" x14ac:dyDescent="0.3">
      <c r="A697" s="1">
        <v>45809</v>
      </c>
      <c r="B697" s="2" t="s">
        <v>83</v>
      </c>
      <c r="C697" s="2" t="s">
        <v>84</v>
      </c>
      <c r="D697" s="2" t="s">
        <v>50</v>
      </c>
      <c r="E697" s="2" t="s">
        <v>47</v>
      </c>
      <c r="F697" s="2" t="s">
        <v>48</v>
      </c>
      <c r="G697" s="2" t="s">
        <v>85</v>
      </c>
      <c r="H697">
        <v>2</v>
      </c>
      <c r="I697">
        <v>7</v>
      </c>
      <c r="J697">
        <v>49.285000000000004</v>
      </c>
      <c r="K697">
        <v>0.1</v>
      </c>
      <c r="L697">
        <v>19.5</v>
      </c>
      <c r="M697">
        <v>320.24</v>
      </c>
      <c r="N697">
        <v>288.21600000000001</v>
      </c>
      <c r="O697">
        <v>125</v>
      </c>
      <c r="P697">
        <v>163.21600000000001</v>
      </c>
    </row>
    <row r="698" spans="1:16" x14ac:dyDescent="0.3">
      <c r="A698" s="1">
        <v>45809</v>
      </c>
      <c r="B698" s="2" t="s">
        <v>39</v>
      </c>
      <c r="C698" s="2" t="s">
        <v>40</v>
      </c>
      <c r="D698" s="2" t="s">
        <v>41</v>
      </c>
      <c r="E698" s="2" t="s">
        <v>51</v>
      </c>
      <c r="F698" s="2" t="s">
        <v>43</v>
      </c>
      <c r="G698" s="2" t="s">
        <v>44</v>
      </c>
      <c r="H698">
        <v>1</v>
      </c>
      <c r="I698">
        <v>6</v>
      </c>
      <c r="J698">
        <v>274.20999999999998</v>
      </c>
      <c r="K698">
        <v>0</v>
      </c>
      <c r="L698">
        <v>182</v>
      </c>
      <c r="M698">
        <v>1645.2599999999998</v>
      </c>
      <c r="N698">
        <v>1645.2599999999998</v>
      </c>
      <c r="O698">
        <v>1092</v>
      </c>
      <c r="P698">
        <v>553.25999999999976</v>
      </c>
    </row>
    <row r="699" spans="1:16" x14ac:dyDescent="0.3">
      <c r="A699" s="1">
        <v>45809</v>
      </c>
      <c r="B699" s="2" t="s">
        <v>56</v>
      </c>
      <c r="C699" s="2" t="s">
        <v>57</v>
      </c>
      <c r="D699" s="2" t="s">
        <v>46</v>
      </c>
      <c r="E699" s="2" t="s">
        <v>47</v>
      </c>
      <c r="F699" s="2" t="s">
        <v>43</v>
      </c>
      <c r="G699" s="2" t="s">
        <v>58</v>
      </c>
      <c r="H699">
        <v>1</v>
      </c>
      <c r="I699">
        <v>4</v>
      </c>
      <c r="J699">
        <v>308.62</v>
      </c>
      <c r="K699">
        <v>0.05</v>
      </c>
      <c r="L699">
        <v>182</v>
      </c>
      <c r="M699">
        <v>1234.48</v>
      </c>
      <c r="N699">
        <v>1172.7559999999999</v>
      </c>
      <c r="O699">
        <v>728</v>
      </c>
      <c r="P699">
        <v>444.75599999999986</v>
      </c>
    </row>
    <row r="700" spans="1:16" x14ac:dyDescent="0.3">
      <c r="A700" s="1">
        <v>45809</v>
      </c>
      <c r="B700" s="2" t="s">
        <v>56</v>
      </c>
      <c r="C700" s="2" t="s">
        <v>57</v>
      </c>
      <c r="D700" s="2" t="s">
        <v>46</v>
      </c>
      <c r="E700" s="2" t="s">
        <v>47</v>
      </c>
      <c r="F700" s="2" t="s">
        <v>52</v>
      </c>
      <c r="G700" s="2" t="s">
        <v>58</v>
      </c>
      <c r="H700">
        <v>1</v>
      </c>
      <c r="I700">
        <v>3</v>
      </c>
      <c r="J700">
        <v>45.36</v>
      </c>
      <c r="K700">
        <v>0.08</v>
      </c>
      <c r="L700">
        <v>18</v>
      </c>
      <c r="M700">
        <v>136.07999999999998</v>
      </c>
      <c r="N700">
        <v>125.19359999999999</v>
      </c>
      <c r="O700">
        <v>54</v>
      </c>
      <c r="P700">
        <v>71.193599999999989</v>
      </c>
    </row>
    <row r="701" spans="1:16" x14ac:dyDescent="0.3">
      <c r="A701" s="1">
        <v>45809</v>
      </c>
      <c r="B701" s="2" t="s">
        <v>56</v>
      </c>
      <c r="C701" s="2" t="s">
        <v>57</v>
      </c>
      <c r="D701" s="2" t="s">
        <v>50</v>
      </c>
      <c r="E701" s="2" t="s">
        <v>47</v>
      </c>
      <c r="F701" s="2" t="s">
        <v>43</v>
      </c>
      <c r="G701" s="2" t="s">
        <v>150</v>
      </c>
      <c r="H701">
        <v>1</v>
      </c>
      <c r="I701">
        <v>3</v>
      </c>
      <c r="J701">
        <v>621.72</v>
      </c>
      <c r="K701">
        <v>0.05</v>
      </c>
      <c r="L701">
        <v>395</v>
      </c>
      <c r="M701">
        <v>1865.16</v>
      </c>
      <c r="N701">
        <v>1771.902</v>
      </c>
      <c r="O701">
        <v>1185</v>
      </c>
      <c r="P701">
        <v>586.90200000000004</v>
      </c>
    </row>
    <row r="702" spans="1:16" x14ac:dyDescent="0.3">
      <c r="A702" s="1">
        <v>45809</v>
      </c>
      <c r="B702" s="2" t="s">
        <v>56</v>
      </c>
      <c r="C702" s="2" t="s">
        <v>57</v>
      </c>
      <c r="D702" s="2" t="s">
        <v>50</v>
      </c>
      <c r="E702" s="2" t="s">
        <v>47</v>
      </c>
      <c r="F702" s="2" t="s">
        <v>48</v>
      </c>
      <c r="G702" s="2" t="s">
        <v>150</v>
      </c>
      <c r="H702">
        <v>1</v>
      </c>
      <c r="I702">
        <v>5</v>
      </c>
      <c r="J702">
        <v>75.84</v>
      </c>
      <c r="K702">
        <v>0.1</v>
      </c>
      <c r="L702">
        <v>31</v>
      </c>
      <c r="M702">
        <v>379.20000000000005</v>
      </c>
      <c r="N702">
        <v>341.28000000000003</v>
      </c>
      <c r="O702">
        <v>155</v>
      </c>
      <c r="P702">
        <v>186.28000000000003</v>
      </c>
    </row>
    <row r="703" spans="1:16" x14ac:dyDescent="0.3">
      <c r="A703" s="1">
        <v>45809</v>
      </c>
      <c r="B703" s="2" t="s">
        <v>39</v>
      </c>
      <c r="C703" s="2" t="s">
        <v>54</v>
      </c>
      <c r="D703" s="2" t="s">
        <v>41</v>
      </c>
      <c r="E703" s="2" t="s">
        <v>51</v>
      </c>
      <c r="F703" s="2" t="s">
        <v>48</v>
      </c>
      <c r="G703" s="2" t="s">
        <v>131</v>
      </c>
      <c r="H703">
        <v>2</v>
      </c>
      <c r="I703">
        <v>38</v>
      </c>
      <c r="J703">
        <v>43.745000000000005</v>
      </c>
      <c r="K703">
        <v>2.5000000000000001E-2</v>
      </c>
      <c r="L703">
        <v>19.5</v>
      </c>
      <c r="M703">
        <v>1662.3100000000002</v>
      </c>
      <c r="N703">
        <v>1599.23</v>
      </c>
      <c r="O703">
        <v>741</v>
      </c>
      <c r="P703">
        <v>858.23</v>
      </c>
    </row>
    <row r="704" spans="1:16" x14ac:dyDescent="0.3">
      <c r="A704" s="1">
        <v>45809</v>
      </c>
      <c r="B704" s="2" t="s">
        <v>56</v>
      </c>
      <c r="C704" s="2" t="s">
        <v>62</v>
      </c>
      <c r="D704" s="2" t="s">
        <v>41</v>
      </c>
      <c r="E704" s="2" t="s">
        <v>51</v>
      </c>
      <c r="F704" s="2" t="s">
        <v>43</v>
      </c>
      <c r="G704" s="2" t="s">
        <v>143</v>
      </c>
      <c r="H704">
        <v>2</v>
      </c>
      <c r="I704">
        <v>79</v>
      </c>
      <c r="J704">
        <v>432.14000000000004</v>
      </c>
      <c r="K704">
        <v>0.05</v>
      </c>
      <c r="L704">
        <v>287</v>
      </c>
      <c r="M704">
        <v>13783.970000000001</v>
      </c>
      <c r="N704">
        <v>13094.82</v>
      </c>
      <c r="O704">
        <v>8460</v>
      </c>
      <c r="P704">
        <v>4634.8200000000006</v>
      </c>
    </row>
    <row r="705" spans="1:16" x14ac:dyDescent="0.3">
      <c r="A705" s="1">
        <v>45809</v>
      </c>
      <c r="B705" s="2" t="s">
        <v>83</v>
      </c>
      <c r="C705" s="2" t="s">
        <v>164</v>
      </c>
      <c r="D705" s="2" t="s">
        <v>50</v>
      </c>
      <c r="E705" s="2" t="s">
        <v>51</v>
      </c>
      <c r="F705" s="2" t="s">
        <v>52</v>
      </c>
      <c r="G705" s="2" t="s">
        <v>53</v>
      </c>
      <c r="H705">
        <v>2</v>
      </c>
      <c r="I705">
        <v>19</v>
      </c>
      <c r="J705">
        <v>190.88</v>
      </c>
      <c r="K705">
        <v>0.09</v>
      </c>
      <c r="L705">
        <v>124</v>
      </c>
      <c r="M705">
        <v>3635.99</v>
      </c>
      <c r="N705">
        <v>3315.0644000000002</v>
      </c>
      <c r="O705">
        <v>2356</v>
      </c>
      <c r="P705">
        <v>959.06440000000021</v>
      </c>
    </row>
    <row r="706" spans="1:16" x14ac:dyDescent="0.3">
      <c r="A706" s="1">
        <v>45809</v>
      </c>
      <c r="B706" s="2" t="s">
        <v>39</v>
      </c>
      <c r="C706" s="2" t="s">
        <v>88</v>
      </c>
      <c r="D706" s="2" t="s">
        <v>41</v>
      </c>
      <c r="E706" s="2" t="s">
        <v>42</v>
      </c>
      <c r="F706" s="2" t="s">
        <v>52</v>
      </c>
      <c r="G706" s="2" t="s">
        <v>181</v>
      </c>
      <c r="H706">
        <v>1</v>
      </c>
      <c r="I706">
        <v>1</v>
      </c>
      <c r="J706">
        <v>215.95</v>
      </c>
      <c r="K706">
        <v>0</v>
      </c>
      <c r="L706">
        <v>124</v>
      </c>
      <c r="M706">
        <v>215.95</v>
      </c>
      <c r="N706">
        <v>215.95</v>
      </c>
      <c r="O706">
        <v>124</v>
      </c>
      <c r="P706">
        <v>91.949999999999989</v>
      </c>
    </row>
    <row r="707" spans="1:16" x14ac:dyDescent="0.3">
      <c r="A707" s="1">
        <v>45809</v>
      </c>
      <c r="B707" s="2" t="s">
        <v>39</v>
      </c>
      <c r="C707" s="2" t="s">
        <v>78</v>
      </c>
      <c r="D707" s="2" t="s">
        <v>41</v>
      </c>
      <c r="E707" s="2" t="s">
        <v>42</v>
      </c>
      <c r="F707" s="2" t="s">
        <v>43</v>
      </c>
      <c r="G707" s="2" t="s">
        <v>182</v>
      </c>
      <c r="H707">
        <v>1</v>
      </c>
      <c r="I707">
        <v>2</v>
      </c>
      <c r="J707">
        <v>816.86</v>
      </c>
      <c r="K707">
        <v>0</v>
      </c>
      <c r="L707">
        <v>520</v>
      </c>
      <c r="M707">
        <v>1633.72</v>
      </c>
      <c r="N707">
        <v>1633.72</v>
      </c>
      <c r="O707">
        <v>1040</v>
      </c>
      <c r="P707">
        <v>593.72</v>
      </c>
    </row>
    <row r="708" spans="1:16" x14ac:dyDescent="0.3">
      <c r="A708" s="1">
        <v>45809</v>
      </c>
      <c r="B708" s="2" t="s">
        <v>75</v>
      </c>
      <c r="C708" s="2" t="s">
        <v>101</v>
      </c>
      <c r="D708" s="2" t="s">
        <v>50</v>
      </c>
      <c r="E708" s="2" t="s">
        <v>51</v>
      </c>
      <c r="F708" s="2" t="s">
        <v>48</v>
      </c>
      <c r="G708" s="2" t="s">
        <v>149</v>
      </c>
      <c r="H708">
        <v>1</v>
      </c>
      <c r="I708">
        <v>14</v>
      </c>
      <c r="J708">
        <v>21.19</v>
      </c>
      <c r="K708">
        <v>0.1</v>
      </c>
      <c r="L708">
        <v>8</v>
      </c>
      <c r="M708">
        <v>296.66000000000003</v>
      </c>
      <c r="N708">
        <v>266.99400000000003</v>
      </c>
      <c r="O708">
        <v>112</v>
      </c>
      <c r="P708">
        <v>154.99400000000003</v>
      </c>
    </row>
    <row r="709" spans="1:16" x14ac:dyDescent="0.3">
      <c r="A709" s="1">
        <v>45809</v>
      </c>
      <c r="B709" s="2" t="s">
        <v>75</v>
      </c>
      <c r="C709" s="2" t="s">
        <v>101</v>
      </c>
      <c r="D709" s="2" t="s">
        <v>50</v>
      </c>
      <c r="E709" s="2" t="s">
        <v>51</v>
      </c>
      <c r="F709" s="2" t="s">
        <v>43</v>
      </c>
      <c r="G709" s="2" t="s">
        <v>149</v>
      </c>
      <c r="H709">
        <v>1</v>
      </c>
      <c r="I709">
        <v>8</v>
      </c>
      <c r="J709">
        <v>158.15</v>
      </c>
      <c r="K709">
        <v>0.12</v>
      </c>
      <c r="L709">
        <v>86</v>
      </c>
      <c r="M709">
        <v>1265.2</v>
      </c>
      <c r="N709">
        <v>1113.376</v>
      </c>
      <c r="O709">
        <v>688</v>
      </c>
      <c r="P709">
        <v>425.37599999999998</v>
      </c>
    </row>
    <row r="710" spans="1:16" x14ac:dyDescent="0.3">
      <c r="A710" s="1">
        <v>45992</v>
      </c>
      <c r="B710" s="2" t="s">
        <v>65</v>
      </c>
      <c r="C710" s="2" t="s">
        <v>134</v>
      </c>
      <c r="D710" s="2" t="s">
        <v>41</v>
      </c>
      <c r="E710" s="2" t="s">
        <v>47</v>
      </c>
      <c r="F710" s="2" t="s">
        <v>43</v>
      </c>
      <c r="G710" s="2" t="s">
        <v>208</v>
      </c>
      <c r="H710">
        <v>2</v>
      </c>
      <c r="I710">
        <v>7</v>
      </c>
      <c r="J710">
        <v>398.01</v>
      </c>
      <c r="K710">
        <v>0.05</v>
      </c>
      <c r="L710">
        <v>240.5</v>
      </c>
      <c r="M710">
        <v>2564.44</v>
      </c>
      <c r="N710">
        <v>2378.5479999999998</v>
      </c>
      <c r="O710">
        <v>1529</v>
      </c>
      <c r="P710">
        <v>849.548</v>
      </c>
    </row>
    <row r="711" spans="1:16" x14ac:dyDescent="0.3">
      <c r="A711" s="1">
        <v>45992</v>
      </c>
      <c r="B711" s="2" t="s">
        <v>65</v>
      </c>
      <c r="C711" s="2" t="s">
        <v>134</v>
      </c>
      <c r="D711" s="2" t="s">
        <v>41</v>
      </c>
      <c r="E711" s="2" t="s">
        <v>47</v>
      </c>
      <c r="F711" s="2" t="s">
        <v>48</v>
      </c>
      <c r="G711" s="2" t="s">
        <v>208</v>
      </c>
      <c r="H711">
        <v>2</v>
      </c>
      <c r="I711">
        <v>12</v>
      </c>
      <c r="J711">
        <v>75.984999999999999</v>
      </c>
      <c r="K711">
        <v>0</v>
      </c>
      <c r="L711">
        <v>31</v>
      </c>
      <c r="M711">
        <v>911.81999999999994</v>
      </c>
      <c r="N711">
        <v>911.81999999999994</v>
      </c>
      <c r="O711">
        <v>372</v>
      </c>
      <c r="P711">
        <v>539.81999999999994</v>
      </c>
    </row>
    <row r="712" spans="1:16" x14ac:dyDescent="0.3">
      <c r="A712" s="1">
        <v>45809</v>
      </c>
      <c r="B712" s="2" t="s">
        <v>56</v>
      </c>
      <c r="C712" s="2" t="s">
        <v>57</v>
      </c>
      <c r="D712" s="2" t="s">
        <v>46</v>
      </c>
      <c r="E712" s="2" t="s">
        <v>42</v>
      </c>
      <c r="F712" s="2" t="s">
        <v>43</v>
      </c>
      <c r="G712" s="2" t="s">
        <v>58</v>
      </c>
      <c r="H712">
        <v>1</v>
      </c>
      <c r="I712">
        <v>2</v>
      </c>
      <c r="J712">
        <v>601.07000000000005</v>
      </c>
      <c r="K712">
        <v>0.1</v>
      </c>
      <c r="L712">
        <v>395</v>
      </c>
      <c r="M712">
        <v>1202.1400000000001</v>
      </c>
      <c r="N712">
        <v>1081.9260000000002</v>
      </c>
      <c r="O712">
        <v>790</v>
      </c>
      <c r="P712">
        <v>291.92600000000016</v>
      </c>
    </row>
    <row r="713" spans="1:16" x14ac:dyDescent="0.3">
      <c r="A713" s="1">
        <v>45809</v>
      </c>
      <c r="B713" s="2" t="s">
        <v>39</v>
      </c>
      <c r="C713" s="2" t="s">
        <v>88</v>
      </c>
      <c r="D713" s="2" t="s">
        <v>50</v>
      </c>
      <c r="E713" s="2" t="s">
        <v>42</v>
      </c>
      <c r="F713" s="2" t="s">
        <v>43</v>
      </c>
      <c r="G713" s="2" t="s">
        <v>125</v>
      </c>
      <c r="H713">
        <v>3</v>
      </c>
      <c r="I713">
        <v>6</v>
      </c>
      <c r="J713">
        <v>363.67666666666668</v>
      </c>
      <c r="K713">
        <v>5.3333333333333337E-2</v>
      </c>
      <c r="L713">
        <v>160.66666666666669</v>
      </c>
      <c r="M713">
        <v>1715.99</v>
      </c>
      <c r="N713">
        <v>1619.2180000000001</v>
      </c>
      <c r="O713">
        <v>655</v>
      </c>
      <c r="P713">
        <v>964.21800000000007</v>
      </c>
    </row>
    <row r="714" spans="1:16" x14ac:dyDescent="0.3">
      <c r="A714" s="1">
        <v>45809</v>
      </c>
      <c r="B714" s="2" t="s">
        <v>39</v>
      </c>
      <c r="C714" s="2" t="s">
        <v>54</v>
      </c>
      <c r="D714" s="2" t="s">
        <v>41</v>
      </c>
      <c r="E714" s="2" t="s">
        <v>42</v>
      </c>
      <c r="F714" s="2" t="s">
        <v>52</v>
      </c>
      <c r="G714" s="2" t="s">
        <v>168</v>
      </c>
      <c r="H714">
        <v>2</v>
      </c>
      <c r="I714">
        <v>4</v>
      </c>
      <c r="J714">
        <v>127.41500000000001</v>
      </c>
      <c r="K714">
        <v>0</v>
      </c>
      <c r="L714">
        <v>71</v>
      </c>
      <c r="M714">
        <v>675.83</v>
      </c>
      <c r="N714">
        <v>675.83</v>
      </c>
      <c r="O714">
        <v>390</v>
      </c>
      <c r="P714">
        <v>285.83</v>
      </c>
    </row>
    <row r="715" spans="1:16" x14ac:dyDescent="0.3">
      <c r="A715" s="1">
        <v>45809</v>
      </c>
      <c r="B715" s="2" t="s">
        <v>39</v>
      </c>
      <c r="C715" s="2" t="s">
        <v>40</v>
      </c>
      <c r="D715" s="2" t="s">
        <v>46</v>
      </c>
      <c r="E715" s="2" t="s">
        <v>42</v>
      </c>
      <c r="F715" s="2" t="s">
        <v>43</v>
      </c>
      <c r="G715" s="2" t="s">
        <v>228</v>
      </c>
      <c r="H715">
        <v>1</v>
      </c>
      <c r="I715">
        <v>1</v>
      </c>
      <c r="J715">
        <v>176.44</v>
      </c>
      <c r="K715">
        <v>0.08</v>
      </c>
      <c r="L715">
        <v>86</v>
      </c>
      <c r="M715">
        <v>176.44</v>
      </c>
      <c r="N715">
        <v>162.32480000000001</v>
      </c>
      <c r="O715">
        <v>86</v>
      </c>
      <c r="P715">
        <v>76.32480000000001</v>
      </c>
    </row>
    <row r="716" spans="1:16" x14ac:dyDescent="0.3">
      <c r="A716" s="1">
        <v>45809</v>
      </c>
      <c r="B716" s="2" t="s">
        <v>39</v>
      </c>
      <c r="C716" s="2" t="s">
        <v>40</v>
      </c>
      <c r="D716" s="2" t="s">
        <v>50</v>
      </c>
      <c r="E716" s="2" t="s">
        <v>42</v>
      </c>
      <c r="F716" s="2" t="s">
        <v>52</v>
      </c>
      <c r="G716" s="2" t="s">
        <v>145</v>
      </c>
      <c r="H716">
        <v>1</v>
      </c>
      <c r="I716">
        <v>3</v>
      </c>
      <c r="J716">
        <v>215.29</v>
      </c>
      <c r="K716">
        <v>0.12</v>
      </c>
      <c r="L716">
        <v>124</v>
      </c>
      <c r="M716">
        <v>645.87</v>
      </c>
      <c r="N716">
        <v>568.36559999999997</v>
      </c>
      <c r="O716">
        <v>372</v>
      </c>
      <c r="P716">
        <v>196.36559999999997</v>
      </c>
    </row>
    <row r="717" spans="1:16" x14ac:dyDescent="0.3">
      <c r="A717" s="1">
        <v>45809</v>
      </c>
      <c r="B717" s="2" t="s">
        <v>83</v>
      </c>
      <c r="C717" s="2" t="s">
        <v>84</v>
      </c>
      <c r="D717" s="2" t="s">
        <v>41</v>
      </c>
      <c r="E717" s="2" t="s">
        <v>51</v>
      </c>
      <c r="F717" s="2" t="s">
        <v>52</v>
      </c>
      <c r="G717" s="2" t="s">
        <v>157</v>
      </c>
      <c r="H717">
        <v>1</v>
      </c>
      <c r="I717">
        <v>11</v>
      </c>
      <c r="J717">
        <v>38.72</v>
      </c>
      <c r="K717">
        <v>0</v>
      </c>
      <c r="L717">
        <v>18</v>
      </c>
      <c r="M717">
        <v>425.91999999999996</v>
      </c>
      <c r="N717">
        <v>425.91999999999996</v>
      </c>
      <c r="O717">
        <v>198</v>
      </c>
      <c r="P717">
        <v>227.91999999999996</v>
      </c>
    </row>
    <row r="718" spans="1:16" x14ac:dyDescent="0.3">
      <c r="A718" s="1">
        <v>45809</v>
      </c>
      <c r="B718" s="2" t="s">
        <v>39</v>
      </c>
      <c r="C718" s="2" t="s">
        <v>88</v>
      </c>
      <c r="D718" s="2" t="s">
        <v>46</v>
      </c>
      <c r="E718" s="2" t="s">
        <v>47</v>
      </c>
      <c r="F718" s="2" t="s">
        <v>43</v>
      </c>
      <c r="G718" s="2" t="s">
        <v>154</v>
      </c>
      <c r="H718">
        <v>1</v>
      </c>
      <c r="I718">
        <v>4</v>
      </c>
      <c r="J718">
        <v>848.22</v>
      </c>
      <c r="K718">
        <v>0.15</v>
      </c>
      <c r="L718">
        <v>520</v>
      </c>
      <c r="M718">
        <v>3392.88</v>
      </c>
      <c r="N718">
        <v>2883.9479999999999</v>
      </c>
      <c r="O718">
        <v>2080</v>
      </c>
      <c r="P718">
        <v>803.94799999999987</v>
      </c>
    </row>
    <row r="719" spans="1:16" x14ac:dyDescent="0.3">
      <c r="A719" s="1">
        <v>45809</v>
      </c>
      <c r="B719" s="2" t="s">
        <v>39</v>
      </c>
      <c r="C719" s="2" t="s">
        <v>88</v>
      </c>
      <c r="D719" s="2" t="s">
        <v>46</v>
      </c>
      <c r="E719" s="2" t="s">
        <v>47</v>
      </c>
      <c r="F719" s="2" t="s">
        <v>48</v>
      </c>
      <c r="G719" s="2" t="s">
        <v>154</v>
      </c>
      <c r="H719">
        <v>1</v>
      </c>
      <c r="I719">
        <v>1</v>
      </c>
      <c r="J719">
        <v>74.680000000000007</v>
      </c>
      <c r="K719">
        <v>0.15</v>
      </c>
      <c r="L719">
        <v>31</v>
      </c>
      <c r="M719">
        <v>74.680000000000007</v>
      </c>
      <c r="N719">
        <v>63.478000000000002</v>
      </c>
      <c r="O719">
        <v>31</v>
      </c>
      <c r="P719">
        <v>32.478000000000002</v>
      </c>
    </row>
    <row r="720" spans="1:16" x14ac:dyDescent="0.3">
      <c r="A720" s="1">
        <v>45809</v>
      </c>
      <c r="B720" s="2" t="s">
        <v>65</v>
      </c>
      <c r="C720" s="2" t="s">
        <v>66</v>
      </c>
      <c r="D720" s="2" t="s">
        <v>50</v>
      </c>
      <c r="E720" s="2" t="s">
        <v>47</v>
      </c>
      <c r="F720" s="2" t="s">
        <v>43</v>
      </c>
      <c r="G720" s="2" t="s">
        <v>220</v>
      </c>
      <c r="H720">
        <v>1</v>
      </c>
      <c r="I720">
        <v>3</v>
      </c>
      <c r="J720">
        <v>648.58000000000004</v>
      </c>
      <c r="K720">
        <v>0.08</v>
      </c>
      <c r="L720">
        <v>395</v>
      </c>
      <c r="M720">
        <v>1945.7400000000002</v>
      </c>
      <c r="N720">
        <v>1790.0808000000004</v>
      </c>
      <c r="O720">
        <v>1185</v>
      </c>
      <c r="P720">
        <v>605.08080000000041</v>
      </c>
    </row>
    <row r="721" spans="1:16" x14ac:dyDescent="0.3">
      <c r="A721" s="1">
        <v>45992</v>
      </c>
      <c r="B721" s="2" t="s">
        <v>83</v>
      </c>
      <c r="C721" s="2" t="s">
        <v>164</v>
      </c>
      <c r="D721" s="2" t="s">
        <v>50</v>
      </c>
      <c r="E721" s="2" t="s">
        <v>42</v>
      </c>
      <c r="F721" s="2" t="s">
        <v>52</v>
      </c>
      <c r="G721" s="2" t="s">
        <v>53</v>
      </c>
      <c r="H721">
        <v>1</v>
      </c>
      <c r="I721">
        <v>2</v>
      </c>
      <c r="J721">
        <v>208.58</v>
      </c>
      <c r="K721">
        <v>0.08</v>
      </c>
      <c r="L721">
        <v>124</v>
      </c>
      <c r="M721">
        <v>417.16</v>
      </c>
      <c r="N721">
        <v>383.78720000000004</v>
      </c>
      <c r="O721">
        <v>248</v>
      </c>
      <c r="P721">
        <v>135.78720000000004</v>
      </c>
    </row>
    <row r="722" spans="1:16" x14ac:dyDescent="0.3">
      <c r="A722" s="1">
        <v>45809</v>
      </c>
      <c r="B722" s="2" t="s">
        <v>56</v>
      </c>
      <c r="C722" s="2" t="s">
        <v>62</v>
      </c>
      <c r="D722" s="2" t="s">
        <v>50</v>
      </c>
      <c r="E722" s="2" t="s">
        <v>47</v>
      </c>
      <c r="F722" s="2" t="s">
        <v>43</v>
      </c>
      <c r="G722" s="2" t="s">
        <v>139</v>
      </c>
      <c r="H722">
        <v>1</v>
      </c>
      <c r="I722">
        <v>4</v>
      </c>
      <c r="J722">
        <v>621.17999999999995</v>
      </c>
      <c r="K722">
        <v>0.08</v>
      </c>
      <c r="L722">
        <v>395</v>
      </c>
      <c r="M722">
        <v>2484.7199999999998</v>
      </c>
      <c r="N722">
        <v>2285.9423999999999</v>
      </c>
      <c r="O722">
        <v>1580</v>
      </c>
      <c r="P722">
        <v>705.94239999999991</v>
      </c>
    </row>
    <row r="723" spans="1:16" x14ac:dyDescent="0.3">
      <c r="A723" s="1">
        <v>45809</v>
      </c>
      <c r="B723" s="2" t="s">
        <v>56</v>
      </c>
      <c r="C723" s="2" t="s">
        <v>62</v>
      </c>
      <c r="D723" s="2" t="s">
        <v>50</v>
      </c>
      <c r="E723" s="2" t="s">
        <v>47</v>
      </c>
      <c r="F723" s="2" t="s">
        <v>48</v>
      </c>
      <c r="G723" s="2" t="s">
        <v>139</v>
      </c>
      <c r="H723">
        <v>1</v>
      </c>
      <c r="I723">
        <v>5</v>
      </c>
      <c r="J723">
        <v>74.91</v>
      </c>
      <c r="K723">
        <v>0.05</v>
      </c>
      <c r="L723">
        <v>31</v>
      </c>
      <c r="M723">
        <v>374.54999999999995</v>
      </c>
      <c r="N723">
        <v>355.82249999999993</v>
      </c>
      <c r="O723">
        <v>155</v>
      </c>
      <c r="P723">
        <v>200.82249999999993</v>
      </c>
    </row>
    <row r="724" spans="1:16" x14ac:dyDescent="0.3">
      <c r="A724" s="1">
        <v>45809</v>
      </c>
      <c r="B724" s="2" t="s">
        <v>39</v>
      </c>
      <c r="C724" s="2" t="s">
        <v>54</v>
      </c>
      <c r="D724" s="2" t="s">
        <v>50</v>
      </c>
      <c r="E724" s="2" t="s">
        <v>42</v>
      </c>
      <c r="F724" s="2" t="s">
        <v>43</v>
      </c>
      <c r="G724" s="2" t="s">
        <v>178</v>
      </c>
      <c r="H724">
        <v>2</v>
      </c>
      <c r="I724">
        <v>12</v>
      </c>
      <c r="J724">
        <v>234.255</v>
      </c>
      <c r="K724">
        <v>7.5000000000000011E-2</v>
      </c>
      <c r="L724">
        <v>134</v>
      </c>
      <c r="M724">
        <v>2345.5</v>
      </c>
      <c r="N724">
        <v>2198.98</v>
      </c>
      <c r="O724">
        <v>1224</v>
      </c>
      <c r="P724">
        <v>974.9799999999999</v>
      </c>
    </row>
    <row r="725" spans="1:16" x14ac:dyDescent="0.3">
      <c r="A725" s="1">
        <v>45809</v>
      </c>
      <c r="B725" s="2" t="s">
        <v>39</v>
      </c>
      <c r="C725" s="2" t="s">
        <v>45</v>
      </c>
      <c r="D725" s="2" t="s">
        <v>41</v>
      </c>
      <c r="E725" s="2" t="s">
        <v>42</v>
      </c>
      <c r="F725" s="2" t="s">
        <v>43</v>
      </c>
      <c r="G725" s="2" t="s">
        <v>183</v>
      </c>
      <c r="H725">
        <v>1</v>
      </c>
      <c r="I725">
        <v>1</v>
      </c>
      <c r="J725">
        <v>289.98</v>
      </c>
      <c r="K725">
        <v>0</v>
      </c>
      <c r="L725">
        <v>182</v>
      </c>
      <c r="M725">
        <v>289.98</v>
      </c>
      <c r="N725">
        <v>289.98</v>
      </c>
      <c r="O725">
        <v>182</v>
      </c>
      <c r="P725">
        <v>107.98000000000002</v>
      </c>
    </row>
    <row r="726" spans="1:16" x14ac:dyDescent="0.3">
      <c r="A726" s="1">
        <v>45809</v>
      </c>
      <c r="B726" s="2" t="s">
        <v>39</v>
      </c>
      <c r="C726" s="2" t="s">
        <v>40</v>
      </c>
      <c r="D726" s="2" t="s">
        <v>41</v>
      </c>
      <c r="E726" s="2" t="s">
        <v>51</v>
      </c>
      <c r="F726" s="2" t="s">
        <v>48</v>
      </c>
      <c r="G726" s="2" t="s">
        <v>215</v>
      </c>
      <c r="H726">
        <v>3</v>
      </c>
      <c r="I726">
        <v>39</v>
      </c>
      <c r="J726">
        <v>73.11333333333333</v>
      </c>
      <c r="K726">
        <v>3.3333333333333333E-2</v>
      </c>
      <c r="L726">
        <v>33.666666666666664</v>
      </c>
      <c r="M726">
        <v>2974.6200000000003</v>
      </c>
      <c r="N726">
        <v>2913.4380000000001</v>
      </c>
      <c r="O726">
        <v>1377</v>
      </c>
      <c r="P726">
        <v>1536.4380000000001</v>
      </c>
    </row>
    <row r="727" spans="1:16" x14ac:dyDescent="0.3">
      <c r="A727" s="1">
        <v>45809</v>
      </c>
      <c r="B727" s="2" t="s">
        <v>39</v>
      </c>
      <c r="C727" s="2" t="s">
        <v>40</v>
      </c>
      <c r="D727" s="2" t="s">
        <v>41</v>
      </c>
      <c r="E727" s="2" t="s">
        <v>51</v>
      </c>
      <c r="F727" s="2" t="s">
        <v>52</v>
      </c>
      <c r="G727" s="2" t="s">
        <v>215</v>
      </c>
      <c r="H727">
        <v>1</v>
      </c>
      <c r="I727">
        <v>10</v>
      </c>
      <c r="J727">
        <v>188</v>
      </c>
      <c r="K727">
        <v>0.1</v>
      </c>
      <c r="L727">
        <v>124</v>
      </c>
      <c r="M727">
        <v>1880</v>
      </c>
      <c r="N727">
        <v>1692</v>
      </c>
      <c r="O727">
        <v>1240</v>
      </c>
      <c r="P727">
        <v>452</v>
      </c>
    </row>
    <row r="728" spans="1:16" x14ac:dyDescent="0.3">
      <c r="A728" s="1">
        <v>45809</v>
      </c>
      <c r="B728" s="2" t="s">
        <v>83</v>
      </c>
      <c r="C728" s="2" t="s">
        <v>84</v>
      </c>
      <c r="D728" s="2" t="s">
        <v>46</v>
      </c>
      <c r="E728" s="2" t="s">
        <v>42</v>
      </c>
      <c r="F728" s="2" t="s">
        <v>52</v>
      </c>
      <c r="G728" s="2" t="s">
        <v>90</v>
      </c>
      <c r="H728">
        <v>1</v>
      </c>
      <c r="I728">
        <v>1</v>
      </c>
      <c r="J728">
        <v>203.59</v>
      </c>
      <c r="K728">
        <v>0.1</v>
      </c>
      <c r="L728">
        <v>124</v>
      </c>
      <c r="M728">
        <v>203.59</v>
      </c>
      <c r="N728">
        <v>183.23099999999999</v>
      </c>
      <c r="O728">
        <v>124</v>
      </c>
      <c r="P728">
        <v>59.230999999999995</v>
      </c>
    </row>
    <row r="729" spans="1:16" x14ac:dyDescent="0.3">
      <c r="A729" s="1">
        <v>45809</v>
      </c>
      <c r="B729" s="2" t="s">
        <v>39</v>
      </c>
      <c r="C729" s="2" t="s">
        <v>78</v>
      </c>
      <c r="D729" s="2" t="s">
        <v>41</v>
      </c>
      <c r="E729" s="2" t="s">
        <v>42</v>
      </c>
      <c r="F729" s="2" t="s">
        <v>48</v>
      </c>
      <c r="G729" s="2" t="s">
        <v>177</v>
      </c>
      <c r="H729">
        <v>2</v>
      </c>
      <c r="I729">
        <v>3</v>
      </c>
      <c r="J729">
        <v>106.64</v>
      </c>
      <c r="K729">
        <v>2.5000000000000001E-2</v>
      </c>
      <c r="L729">
        <v>47</v>
      </c>
      <c r="M729">
        <v>288.38</v>
      </c>
      <c r="N729">
        <v>280.87</v>
      </c>
      <c r="O729">
        <v>125</v>
      </c>
      <c r="P729">
        <v>155.86999999999998</v>
      </c>
    </row>
    <row r="730" spans="1:16" x14ac:dyDescent="0.3">
      <c r="A730" s="1">
        <v>45809</v>
      </c>
      <c r="B730" s="2" t="s">
        <v>39</v>
      </c>
      <c r="C730" s="2" t="s">
        <v>92</v>
      </c>
      <c r="D730" s="2" t="s">
        <v>50</v>
      </c>
      <c r="E730" s="2" t="s">
        <v>42</v>
      </c>
      <c r="F730" s="2" t="s">
        <v>43</v>
      </c>
      <c r="G730" s="2" t="s">
        <v>146</v>
      </c>
      <c r="H730">
        <v>1</v>
      </c>
      <c r="I730">
        <v>1</v>
      </c>
      <c r="J730">
        <v>850.04</v>
      </c>
      <c r="K730">
        <v>0.12</v>
      </c>
      <c r="L730">
        <v>520</v>
      </c>
      <c r="M730">
        <v>850.04</v>
      </c>
      <c r="N730">
        <v>748.03519999999992</v>
      </c>
      <c r="O730">
        <v>520</v>
      </c>
      <c r="P730">
        <v>228.03519999999992</v>
      </c>
    </row>
    <row r="731" spans="1:16" x14ac:dyDescent="0.3">
      <c r="A731" s="1">
        <v>45809</v>
      </c>
      <c r="B731" s="2" t="s">
        <v>65</v>
      </c>
      <c r="C731" s="2" t="s">
        <v>134</v>
      </c>
      <c r="D731" s="2" t="s">
        <v>41</v>
      </c>
      <c r="E731" s="2" t="s">
        <v>51</v>
      </c>
      <c r="F731" s="2" t="s">
        <v>48</v>
      </c>
      <c r="G731" s="2" t="s">
        <v>208</v>
      </c>
      <c r="H731">
        <v>4</v>
      </c>
      <c r="I731">
        <v>72</v>
      </c>
      <c r="J731">
        <v>82.63</v>
      </c>
      <c r="K731">
        <v>2.4999999999999994E-2</v>
      </c>
      <c r="L731">
        <v>41.25</v>
      </c>
      <c r="M731">
        <v>6178.84</v>
      </c>
      <c r="N731">
        <v>5995.09</v>
      </c>
      <c r="O731">
        <v>3094</v>
      </c>
      <c r="P731">
        <v>2901.0900000000006</v>
      </c>
    </row>
    <row r="732" spans="1:16" x14ac:dyDescent="0.3">
      <c r="A732" s="1">
        <v>45809</v>
      </c>
      <c r="B732" s="2" t="s">
        <v>65</v>
      </c>
      <c r="C732" s="2" t="s">
        <v>134</v>
      </c>
      <c r="D732" s="2" t="s">
        <v>41</v>
      </c>
      <c r="E732" s="2" t="s">
        <v>51</v>
      </c>
      <c r="F732" s="2" t="s">
        <v>43</v>
      </c>
      <c r="G732" s="2" t="s">
        <v>208</v>
      </c>
      <c r="H732">
        <v>2</v>
      </c>
      <c r="I732">
        <v>22</v>
      </c>
      <c r="J732">
        <v>814.47499999999991</v>
      </c>
      <c r="K732">
        <v>0</v>
      </c>
      <c r="L732">
        <v>577.5</v>
      </c>
      <c r="M732">
        <v>17444.16</v>
      </c>
      <c r="N732">
        <v>17444.16</v>
      </c>
      <c r="O732">
        <v>12340</v>
      </c>
      <c r="P732">
        <v>5104.16</v>
      </c>
    </row>
    <row r="733" spans="1:16" x14ac:dyDescent="0.3">
      <c r="A733" s="1">
        <v>45689</v>
      </c>
      <c r="B733" s="2" t="s">
        <v>39</v>
      </c>
      <c r="C733" s="2" t="s">
        <v>78</v>
      </c>
      <c r="D733" s="2" t="s">
        <v>46</v>
      </c>
      <c r="E733" s="2" t="s">
        <v>47</v>
      </c>
      <c r="F733" s="2" t="s">
        <v>43</v>
      </c>
      <c r="G733" s="2" t="s">
        <v>223</v>
      </c>
      <c r="H733">
        <v>1</v>
      </c>
      <c r="I733">
        <v>2</v>
      </c>
      <c r="J733">
        <v>644.38</v>
      </c>
      <c r="K733">
        <v>0.1</v>
      </c>
      <c r="L733">
        <v>395</v>
      </c>
      <c r="M733">
        <v>1288.76</v>
      </c>
      <c r="N733">
        <v>1159.884</v>
      </c>
      <c r="O733">
        <v>790</v>
      </c>
      <c r="P733">
        <v>369.88400000000001</v>
      </c>
    </row>
    <row r="734" spans="1:16" x14ac:dyDescent="0.3">
      <c r="A734" s="1">
        <v>45809</v>
      </c>
      <c r="B734" s="2" t="s">
        <v>39</v>
      </c>
      <c r="C734" s="2" t="s">
        <v>40</v>
      </c>
      <c r="D734" s="2" t="s">
        <v>41</v>
      </c>
      <c r="E734" s="2" t="s">
        <v>42</v>
      </c>
      <c r="F734" s="2" t="s">
        <v>48</v>
      </c>
      <c r="G734" s="2" t="s">
        <v>137</v>
      </c>
      <c r="H734">
        <v>1</v>
      </c>
      <c r="I734">
        <v>1</v>
      </c>
      <c r="J734">
        <v>90.31</v>
      </c>
      <c r="K734">
        <v>0</v>
      </c>
      <c r="L734">
        <v>39</v>
      </c>
      <c r="M734">
        <v>90.31</v>
      </c>
      <c r="N734">
        <v>90.31</v>
      </c>
      <c r="O734">
        <v>39</v>
      </c>
      <c r="P734">
        <v>51.31</v>
      </c>
    </row>
    <row r="735" spans="1:16" x14ac:dyDescent="0.3">
      <c r="A735" s="1">
        <v>45809</v>
      </c>
      <c r="B735" s="2" t="s">
        <v>39</v>
      </c>
      <c r="C735" s="2" t="s">
        <v>54</v>
      </c>
      <c r="D735" s="2" t="s">
        <v>50</v>
      </c>
      <c r="E735" s="2" t="s">
        <v>51</v>
      </c>
      <c r="F735" s="2" t="s">
        <v>43</v>
      </c>
      <c r="G735" s="2" t="s">
        <v>178</v>
      </c>
      <c r="H735">
        <v>1</v>
      </c>
      <c r="I735">
        <v>12</v>
      </c>
      <c r="J735">
        <v>752.09</v>
      </c>
      <c r="K735">
        <v>0.1</v>
      </c>
      <c r="L735">
        <v>520</v>
      </c>
      <c r="M735">
        <v>9025.08</v>
      </c>
      <c r="N735">
        <v>8122.5720000000001</v>
      </c>
      <c r="O735">
        <v>6240</v>
      </c>
      <c r="P735">
        <v>1882.5720000000001</v>
      </c>
    </row>
    <row r="736" spans="1:16" x14ac:dyDescent="0.3">
      <c r="A736" s="1">
        <v>45809</v>
      </c>
      <c r="B736" s="2" t="s">
        <v>56</v>
      </c>
      <c r="C736" s="2" t="s">
        <v>57</v>
      </c>
      <c r="D736" s="2" t="s">
        <v>46</v>
      </c>
      <c r="E736" s="2" t="s">
        <v>51</v>
      </c>
      <c r="F736" s="2" t="s">
        <v>43</v>
      </c>
      <c r="G736" s="2" t="s">
        <v>112</v>
      </c>
      <c r="H736">
        <v>1</v>
      </c>
      <c r="I736">
        <v>12</v>
      </c>
      <c r="J736">
        <v>162.38999999999999</v>
      </c>
      <c r="K736">
        <v>0.05</v>
      </c>
      <c r="L736">
        <v>86</v>
      </c>
      <c r="M736">
        <v>1948.6799999999998</v>
      </c>
      <c r="N736">
        <v>1851.2459999999999</v>
      </c>
      <c r="O736">
        <v>1032</v>
      </c>
      <c r="P736">
        <v>819.24599999999987</v>
      </c>
    </row>
    <row r="737" spans="1:16" x14ac:dyDescent="0.3">
      <c r="A737" s="1">
        <v>45809</v>
      </c>
      <c r="B737" s="2" t="s">
        <v>56</v>
      </c>
      <c r="C737" s="2" t="s">
        <v>57</v>
      </c>
      <c r="D737" s="2" t="s">
        <v>46</v>
      </c>
      <c r="E737" s="2" t="s">
        <v>51</v>
      </c>
      <c r="F737" s="2" t="s">
        <v>52</v>
      </c>
      <c r="G737" s="2" t="s">
        <v>112</v>
      </c>
      <c r="H737">
        <v>1</v>
      </c>
      <c r="I737">
        <v>8</v>
      </c>
      <c r="J737">
        <v>196.87</v>
      </c>
      <c r="K737">
        <v>0.05</v>
      </c>
      <c r="L737">
        <v>124</v>
      </c>
      <c r="M737">
        <v>1574.96</v>
      </c>
      <c r="N737">
        <v>1496.212</v>
      </c>
      <c r="O737">
        <v>992</v>
      </c>
      <c r="P737">
        <v>504.21199999999999</v>
      </c>
    </row>
    <row r="738" spans="1:16" x14ac:dyDescent="0.3">
      <c r="A738" s="1">
        <v>45809</v>
      </c>
      <c r="B738" s="2" t="s">
        <v>39</v>
      </c>
      <c r="C738" s="2" t="s">
        <v>45</v>
      </c>
      <c r="D738" s="2" t="s">
        <v>41</v>
      </c>
      <c r="E738" s="2" t="s">
        <v>47</v>
      </c>
      <c r="F738" s="2" t="s">
        <v>48</v>
      </c>
      <c r="G738" s="2" t="s">
        <v>183</v>
      </c>
      <c r="H738">
        <v>1</v>
      </c>
      <c r="I738">
        <v>6</v>
      </c>
      <c r="J738">
        <v>136.54</v>
      </c>
      <c r="K738">
        <v>0</v>
      </c>
      <c r="L738">
        <v>63</v>
      </c>
      <c r="M738">
        <v>819.24</v>
      </c>
      <c r="N738">
        <v>819.24</v>
      </c>
      <c r="O738">
        <v>378</v>
      </c>
      <c r="P738">
        <v>441.24</v>
      </c>
    </row>
    <row r="739" spans="1:16" x14ac:dyDescent="0.3">
      <c r="A739" s="1">
        <v>45809</v>
      </c>
      <c r="B739" s="2" t="s">
        <v>56</v>
      </c>
      <c r="C739" s="2" t="s">
        <v>72</v>
      </c>
      <c r="D739" s="2" t="s">
        <v>46</v>
      </c>
      <c r="E739" s="2" t="s">
        <v>42</v>
      </c>
      <c r="F739" s="2" t="s">
        <v>43</v>
      </c>
      <c r="G739" s="2" t="s">
        <v>199</v>
      </c>
      <c r="H739">
        <v>1</v>
      </c>
      <c r="I739">
        <v>1</v>
      </c>
      <c r="J739">
        <v>298.22000000000003</v>
      </c>
      <c r="K739">
        <v>0.1</v>
      </c>
      <c r="L739">
        <v>182</v>
      </c>
      <c r="M739">
        <v>298.22000000000003</v>
      </c>
      <c r="N739">
        <v>268.39800000000002</v>
      </c>
      <c r="O739">
        <v>182</v>
      </c>
      <c r="P739">
        <v>86.398000000000025</v>
      </c>
    </row>
    <row r="740" spans="1:16" x14ac:dyDescent="0.3">
      <c r="A740" s="1">
        <v>45809</v>
      </c>
      <c r="B740" s="2" t="s">
        <v>65</v>
      </c>
      <c r="C740" s="2" t="s">
        <v>66</v>
      </c>
      <c r="D740" s="2" t="s">
        <v>41</v>
      </c>
      <c r="E740" s="2" t="s">
        <v>51</v>
      </c>
      <c r="F740" s="2" t="s">
        <v>48</v>
      </c>
      <c r="G740" s="2" t="s">
        <v>176</v>
      </c>
      <c r="H740">
        <v>1</v>
      </c>
      <c r="I740">
        <v>17</v>
      </c>
      <c r="J740">
        <v>66.099999999999994</v>
      </c>
      <c r="K740">
        <v>0.05</v>
      </c>
      <c r="L740">
        <v>31</v>
      </c>
      <c r="M740">
        <v>1123.6999999999998</v>
      </c>
      <c r="N740">
        <v>1067.5149999999999</v>
      </c>
      <c r="O740">
        <v>527</v>
      </c>
      <c r="P740">
        <v>540.51499999999987</v>
      </c>
    </row>
    <row r="741" spans="1:16" x14ac:dyDescent="0.3">
      <c r="A741" s="1">
        <v>45809</v>
      </c>
      <c r="B741" s="2" t="s">
        <v>39</v>
      </c>
      <c r="C741" s="2" t="s">
        <v>92</v>
      </c>
      <c r="D741" s="2" t="s">
        <v>50</v>
      </c>
      <c r="E741" s="2" t="s">
        <v>51</v>
      </c>
      <c r="F741" s="2" t="s">
        <v>43</v>
      </c>
      <c r="G741" s="2" t="s">
        <v>160</v>
      </c>
      <c r="H741">
        <v>1</v>
      </c>
      <c r="I741">
        <v>6</v>
      </c>
      <c r="J741">
        <v>554.04999999999995</v>
      </c>
      <c r="K741">
        <v>0.1</v>
      </c>
      <c r="L741">
        <v>395</v>
      </c>
      <c r="M741">
        <v>3324.2999999999997</v>
      </c>
      <c r="N741">
        <v>2991.87</v>
      </c>
      <c r="O741">
        <v>2370</v>
      </c>
      <c r="P741">
        <v>621.86999999999989</v>
      </c>
    </row>
    <row r="742" spans="1:16" x14ac:dyDescent="0.3">
      <c r="A742" s="1">
        <v>45809</v>
      </c>
      <c r="B742" s="2" t="s">
        <v>75</v>
      </c>
      <c r="C742" s="2" t="s">
        <v>76</v>
      </c>
      <c r="D742" s="2" t="s">
        <v>50</v>
      </c>
      <c r="E742" s="2" t="s">
        <v>42</v>
      </c>
      <c r="F742" s="2" t="s">
        <v>48</v>
      </c>
      <c r="G742" s="2" t="s">
        <v>82</v>
      </c>
      <c r="H742">
        <v>1</v>
      </c>
      <c r="I742">
        <v>2</v>
      </c>
      <c r="J742">
        <v>74.42</v>
      </c>
      <c r="K742">
        <v>0</v>
      </c>
      <c r="L742">
        <v>31</v>
      </c>
      <c r="M742">
        <v>148.84</v>
      </c>
      <c r="N742">
        <v>148.84</v>
      </c>
      <c r="O742">
        <v>62</v>
      </c>
      <c r="P742">
        <v>86.84</v>
      </c>
    </row>
    <row r="743" spans="1:16" x14ac:dyDescent="0.3">
      <c r="A743" s="1">
        <v>45809</v>
      </c>
      <c r="B743" s="2" t="s">
        <v>39</v>
      </c>
      <c r="C743" s="2" t="s">
        <v>92</v>
      </c>
      <c r="D743" s="2" t="s">
        <v>41</v>
      </c>
      <c r="E743" s="2" t="s">
        <v>42</v>
      </c>
      <c r="F743" s="2" t="s">
        <v>48</v>
      </c>
      <c r="G743" s="2" t="s">
        <v>196</v>
      </c>
      <c r="H743">
        <v>1</v>
      </c>
      <c r="I743">
        <v>2</v>
      </c>
      <c r="J743">
        <v>138.55000000000001</v>
      </c>
      <c r="K743">
        <v>0.1</v>
      </c>
      <c r="L743">
        <v>63</v>
      </c>
      <c r="M743">
        <v>277.10000000000002</v>
      </c>
      <c r="N743">
        <v>249.39000000000001</v>
      </c>
      <c r="O743">
        <v>126</v>
      </c>
      <c r="P743">
        <v>123.39000000000001</v>
      </c>
    </row>
    <row r="744" spans="1:16" x14ac:dyDescent="0.3">
      <c r="A744" s="1">
        <v>45809</v>
      </c>
      <c r="B744" s="2" t="s">
        <v>39</v>
      </c>
      <c r="C744" s="2" t="s">
        <v>92</v>
      </c>
      <c r="D744" s="2" t="s">
        <v>41</v>
      </c>
      <c r="E744" s="2" t="s">
        <v>42</v>
      </c>
      <c r="F744" s="2" t="s">
        <v>43</v>
      </c>
      <c r="G744" s="2" t="s">
        <v>196</v>
      </c>
      <c r="H744">
        <v>1</v>
      </c>
      <c r="I744">
        <v>1</v>
      </c>
      <c r="J744">
        <v>169.64</v>
      </c>
      <c r="K744">
        <v>0</v>
      </c>
      <c r="L744">
        <v>86</v>
      </c>
      <c r="M744">
        <v>169.64</v>
      </c>
      <c r="N744">
        <v>169.64</v>
      </c>
      <c r="O744">
        <v>86</v>
      </c>
      <c r="P744">
        <v>83.639999999999986</v>
      </c>
    </row>
    <row r="745" spans="1:16" x14ac:dyDescent="0.3">
      <c r="A745" s="1">
        <v>45809</v>
      </c>
      <c r="B745" s="2" t="s">
        <v>39</v>
      </c>
      <c r="C745" s="2" t="s">
        <v>88</v>
      </c>
      <c r="D745" s="2" t="s">
        <v>41</v>
      </c>
      <c r="E745" s="2" t="s">
        <v>42</v>
      </c>
      <c r="F745" s="2" t="s">
        <v>48</v>
      </c>
      <c r="G745" s="2" t="s">
        <v>224</v>
      </c>
      <c r="H745">
        <v>1</v>
      </c>
      <c r="I745">
        <v>1</v>
      </c>
      <c r="J745">
        <v>139.27000000000001</v>
      </c>
      <c r="K745">
        <v>0</v>
      </c>
      <c r="L745">
        <v>63</v>
      </c>
      <c r="M745">
        <v>139.27000000000001</v>
      </c>
      <c r="N745">
        <v>139.27000000000001</v>
      </c>
      <c r="O745">
        <v>63</v>
      </c>
      <c r="P745">
        <v>76.27000000000001</v>
      </c>
    </row>
    <row r="746" spans="1:16" x14ac:dyDescent="0.3">
      <c r="A746" s="1">
        <v>45809</v>
      </c>
      <c r="B746" s="2" t="s">
        <v>83</v>
      </c>
      <c r="C746" s="2" t="s">
        <v>84</v>
      </c>
      <c r="D746" s="2" t="s">
        <v>41</v>
      </c>
      <c r="E746" s="2" t="s">
        <v>51</v>
      </c>
      <c r="F746" s="2" t="s">
        <v>52</v>
      </c>
      <c r="G746" s="2" t="s">
        <v>222</v>
      </c>
      <c r="H746">
        <v>1</v>
      </c>
      <c r="I746">
        <v>6</v>
      </c>
      <c r="J746">
        <v>39.57</v>
      </c>
      <c r="K746">
        <v>0</v>
      </c>
      <c r="L746">
        <v>18</v>
      </c>
      <c r="M746">
        <v>237.42000000000002</v>
      </c>
      <c r="N746">
        <v>237.42000000000002</v>
      </c>
      <c r="O746">
        <v>108</v>
      </c>
      <c r="P746">
        <v>129.42000000000002</v>
      </c>
    </row>
    <row r="747" spans="1:16" x14ac:dyDescent="0.3">
      <c r="A747" s="1">
        <v>45809</v>
      </c>
      <c r="B747" s="2" t="s">
        <v>65</v>
      </c>
      <c r="C747" s="2" t="s">
        <v>66</v>
      </c>
      <c r="D747" s="2" t="s">
        <v>41</v>
      </c>
      <c r="E747" s="2" t="s">
        <v>42</v>
      </c>
      <c r="F747" s="2" t="s">
        <v>52</v>
      </c>
      <c r="G747" s="2" t="s">
        <v>68</v>
      </c>
      <c r="H747">
        <v>1</v>
      </c>
      <c r="I747">
        <v>2</v>
      </c>
      <c r="J747">
        <v>210.87</v>
      </c>
      <c r="K747">
        <v>0.1</v>
      </c>
      <c r="L747">
        <v>124</v>
      </c>
      <c r="M747">
        <v>421.74</v>
      </c>
      <c r="N747">
        <v>379.56600000000003</v>
      </c>
      <c r="O747">
        <v>248</v>
      </c>
      <c r="P747">
        <v>131.56600000000003</v>
      </c>
    </row>
    <row r="748" spans="1:16" x14ac:dyDescent="0.3">
      <c r="A748" s="1">
        <v>45809</v>
      </c>
      <c r="B748" s="2" t="s">
        <v>39</v>
      </c>
      <c r="C748" s="2" t="s">
        <v>40</v>
      </c>
      <c r="D748" s="2" t="s">
        <v>46</v>
      </c>
      <c r="E748" s="2" t="s">
        <v>47</v>
      </c>
      <c r="F748" s="2" t="s">
        <v>48</v>
      </c>
      <c r="G748" s="2" t="s">
        <v>120</v>
      </c>
      <c r="H748">
        <v>1</v>
      </c>
      <c r="I748">
        <v>6</v>
      </c>
      <c r="J748">
        <v>74.78</v>
      </c>
      <c r="K748">
        <v>0.1</v>
      </c>
      <c r="L748">
        <v>31</v>
      </c>
      <c r="M748">
        <v>448.68</v>
      </c>
      <c r="N748">
        <v>403.81200000000001</v>
      </c>
      <c r="O748">
        <v>186</v>
      </c>
      <c r="P748">
        <v>217.81200000000001</v>
      </c>
    </row>
    <row r="749" spans="1:16" x14ac:dyDescent="0.3">
      <c r="A749" s="1">
        <v>45809</v>
      </c>
      <c r="B749" s="2" t="s">
        <v>39</v>
      </c>
      <c r="C749" s="2" t="s">
        <v>40</v>
      </c>
      <c r="D749" s="2" t="s">
        <v>46</v>
      </c>
      <c r="E749" s="2" t="s">
        <v>47</v>
      </c>
      <c r="F749" s="2" t="s">
        <v>43</v>
      </c>
      <c r="G749" s="2" t="s">
        <v>120</v>
      </c>
      <c r="H749">
        <v>3</v>
      </c>
      <c r="I749">
        <v>7</v>
      </c>
      <c r="J749">
        <v>226.57</v>
      </c>
      <c r="K749">
        <v>7.3333333333333334E-2</v>
      </c>
      <c r="L749">
        <v>118</v>
      </c>
      <c r="M749">
        <v>1541.48</v>
      </c>
      <c r="N749">
        <v>1420.992</v>
      </c>
      <c r="O749">
        <v>794</v>
      </c>
      <c r="P749">
        <v>626.99199999999996</v>
      </c>
    </row>
    <row r="750" spans="1:16" x14ac:dyDescent="0.3">
      <c r="A750" s="1">
        <v>45809</v>
      </c>
      <c r="B750" s="2" t="s">
        <v>39</v>
      </c>
      <c r="C750" s="2" t="s">
        <v>40</v>
      </c>
      <c r="D750" s="2" t="s">
        <v>41</v>
      </c>
      <c r="E750" s="2" t="s">
        <v>47</v>
      </c>
      <c r="F750" s="2" t="s">
        <v>48</v>
      </c>
      <c r="G750" s="2" t="s">
        <v>86</v>
      </c>
      <c r="H750">
        <v>1</v>
      </c>
      <c r="I750">
        <v>1</v>
      </c>
      <c r="J750">
        <v>74.510000000000005</v>
      </c>
      <c r="K750">
        <v>0</v>
      </c>
      <c r="L750">
        <v>31</v>
      </c>
      <c r="M750">
        <v>74.510000000000005</v>
      </c>
      <c r="N750">
        <v>74.510000000000005</v>
      </c>
      <c r="O750">
        <v>31</v>
      </c>
      <c r="P750">
        <v>43.510000000000005</v>
      </c>
    </row>
    <row r="751" spans="1:16" x14ac:dyDescent="0.3">
      <c r="A751" s="1">
        <v>45809</v>
      </c>
      <c r="B751" s="2" t="s">
        <v>39</v>
      </c>
      <c r="C751" s="2" t="s">
        <v>40</v>
      </c>
      <c r="D751" s="2" t="s">
        <v>41</v>
      </c>
      <c r="E751" s="2" t="s">
        <v>47</v>
      </c>
      <c r="F751" s="2" t="s">
        <v>43</v>
      </c>
      <c r="G751" s="2" t="s">
        <v>86</v>
      </c>
      <c r="H751">
        <v>1</v>
      </c>
      <c r="I751">
        <v>2</v>
      </c>
      <c r="J751">
        <v>176.11</v>
      </c>
      <c r="K751">
        <v>0</v>
      </c>
      <c r="L751">
        <v>86</v>
      </c>
      <c r="M751">
        <v>352.22</v>
      </c>
      <c r="N751">
        <v>352.22</v>
      </c>
      <c r="O751">
        <v>172</v>
      </c>
      <c r="P751">
        <v>180.22000000000003</v>
      </c>
    </row>
    <row r="752" spans="1:16" x14ac:dyDescent="0.3">
      <c r="A752" s="1">
        <v>45809</v>
      </c>
      <c r="B752" s="2" t="s">
        <v>39</v>
      </c>
      <c r="C752" s="2" t="s">
        <v>88</v>
      </c>
      <c r="D752" s="2" t="s">
        <v>50</v>
      </c>
      <c r="E752" s="2" t="s">
        <v>51</v>
      </c>
      <c r="F752" s="2" t="s">
        <v>48</v>
      </c>
      <c r="G752" s="2" t="s">
        <v>192</v>
      </c>
      <c r="H752">
        <v>1</v>
      </c>
      <c r="I752">
        <v>11</v>
      </c>
      <c r="J752">
        <v>122.8</v>
      </c>
      <c r="K752">
        <v>0.08</v>
      </c>
      <c r="L752">
        <v>63</v>
      </c>
      <c r="M752">
        <v>1350.8</v>
      </c>
      <c r="N752">
        <v>1242.7360000000001</v>
      </c>
      <c r="O752">
        <v>693</v>
      </c>
      <c r="P752">
        <v>549.7360000000001</v>
      </c>
    </row>
    <row r="753" spans="1:16" x14ac:dyDescent="0.3">
      <c r="A753" s="1">
        <v>45809</v>
      </c>
      <c r="B753" s="2" t="s">
        <v>39</v>
      </c>
      <c r="C753" s="2" t="s">
        <v>40</v>
      </c>
      <c r="D753" s="2" t="s">
        <v>46</v>
      </c>
      <c r="E753" s="2" t="s">
        <v>47</v>
      </c>
      <c r="F753" s="2" t="s">
        <v>52</v>
      </c>
      <c r="G753" s="2" t="s">
        <v>120</v>
      </c>
      <c r="H753">
        <v>1</v>
      </c>
      <c r="I753">
        <v>3</v>
      </c>
      <c r="J753">
        <v>218.06</v>
      </c>
      <c r="K753">
        <v>0.1</v>
      </c>
      <c r="L753">
        <v>124</v>
      </c>
      <c r="M753">
        <v>654.18000000000006</v>
      </c>
      <c r="N753">
        <v>588.76200000000006</v>
      </c>
      <c r="O753">
        <v>372</v>
      </c>
      <c r="P753">
        <v>216.76200000000006</v>
      </c>
    </row>
    <row r="754" spans="1:16" x14ac:dyDescent="0.3">
      <c r="A754" s="1">
        <v>45809</v>
      </c>
      <c r="B754" s="2" t="s">
        <v>75</v>
      </c>
      <c r="C754" s="2" t="s">
        <v>106</v>
      </c>
      <c r="D754" s="2" t="s">
        <v>46</v>
      </c>
      <c r="E754" s="2" t="s">
        <v>47</v>
      </c>
      <c r="F754" s="2" t="s">
        <v>52</v>
      </c>
      <c r="G754" s="2" t="s">
        <v>107</v>
      </c>
      <c r="H754">
        <v>1</v>
      </c>
      <c r="I754">
        <v>2</v>
      </c>
      <c r="J754">
        <v>43.88</v>
      </c>
      <c r="K754">
        <v>0.1</v>
      </c>
      <c r="L754">
        <v>18</v>
      </c>
      <c r="M754">
        <v>87.76</v>
      </c>
      <c r="N754">
        <v>78.984000000000009</v>
      </c>
      <c r="O754">
        <v>36</v>
      </c>
      <c r="P754">
        <v>42.984000000000009</v>
      </c>
    </row>
    <row r="755" spans="1:16" x14ac:dyDescent="0.3">
      <c r="A755" s="1">
        <v>45809</v>
      </c>
      <c r="B755" s="2" t="s">
        <v>75</v>
      </c>
      <c r="C755" s="2" t="s">
        <v>106</v>
      </c>
      <c r="D755" s="2" t="s">
        <v>46</v>
      </c>
      <c r="E755" s="2" t="s">
        <v>47</v>
      </c>
      <c r="F755" s="2" t="s">
        <v>43</v>
      </c>
      <c r="G755" s="2" t="s">
        <v>107</v>
      </c>
      <c r="H755">
        <v>1</v>
      </c>
      <c r="I755">
        <v>3</v>
      </c>
      <c r="J755">
        <v>852.68</v>
      </c>
      <c r="K755">
        <v>0.08</v>
      </c>
      <c r="L755">
        <v>520</v>
      </c>
      <c r="M755">
        <v>2558.04</v>
      </c>
      <c r="N755">
        <v>2353.3968</v>
      </c>
      <c r="O755">
        <v>1560</v>
      </c>
      <c r="P755">
        <v>793.39679999999998</v>
      </c>
    </row>
    <row r="756" spans="1:16" x14ac:dyDescent="0.3">
      <c r="A756" s="1">
        <v>45809</v>
      </c>
      <c r="B756" s="2" t="s">
        <v>39</v>
      </c>
      <c r="C756" s="2" t="s">
        <v>45</v>
      </c>
      <c r="D756" s="2" t="s">
        <v>41</v>
      </c>
      <c r="E756" s="2" t="s">
        <v>42</v>
      </c>
      <c r="F756" s="2" t="s">
        <v>52</v>
      </c>
      <c r="G756" s="2" t="s">
        <v>170</v>
      </c>
      <c r="H756">
        <v>2</v>
      </c>
      <c r="I756">
        <v>3</v>
      </c>
      <c r="J756">
        <v>123.295</v>
      </c>
      <c r="K756">
        <v>2.5000000000000001E-2</v>
      </c>
      <c r="L756">
        <v>71</v>
      </c>
      <c r="M756">
        <v>448.82</v>
      </c>
      <c r="N756">
        <v>446.60199999999998</v>
      </c>
      <c r="O756">
        <v>266</v>
      </c>
      <c r="P756">
        <v>180.60199999999998</v>
      </c>
    </row>
    <row r="757" spans="1:16" x14ac:dyDescent="0.3">
      <c r="A757" s="1">
        <v>45809</v>
      </c>
      <c r="B757" s="2" t="s">
        <v>39</v>
      </c>
      <c r="C757" s="2" t="s">
        <v>54</v>
      </c>
      <c r="D757" s="2" t="s">
        <v>41</v>
      </c>
      <c r="E757" s="2" t="s">
        <v>42</v>
      </c>
      <c r="F757" s="2" t="s">
        <v>52</v>
      </c>
      <c r="G757" s="2" t="s">
        <v>69</v>
      </c>
      <c r="H757">
        <v>1</v>
      </c>
      <c r="I757">
        <v>1</v>
      </c>
      <c r="J757">
        <v>43.17</v>
      </c>
      <c r="K757">
        <v>0.05</v>
      </c>
      <c r="L757">
        <v>18</v>
      </c>
      <c r="M757">
        <v>43.17</v>
      </c>
      <c r="N757">
        <v>41.011499999999998</v>
      </c>
      <c r="O757">
        <v>18</v>
      </c>
      <c r="P757">
        <v>23.011499999999998</v>
      </c>
    </row>
    <row r="758" spans="1:16" x14ac:dyDescent="0.3">
      <c r="A758" s="1">
        <v>45809</v>
      </c>
      <c r="B758" s="2" t="s">
        <v>39</v>
      </c>
      <c r="C758" s="2" t="s">
        <v>88</v>
      </c>
      <c r="D758" s="2" t="s">
        <v>50</v>
      </c>
      <c r="E758" s="2" t="s">
        <v>47</v>
      </c>
      <c r="F758" s="2" t="s">
        <v>48</v>
      </c>
      <c r="G758" s="2" t="s">
        <v>192</v>
      </c>
      <c r="H758">
        <v>1</v>
      </c>
      <c r="I758">
        <v>1</v>
      </c>
      <c r="J758">
        <v>23.86</v>
      </c>
      <c r="K758">
        <v>0.05</v>
      </c>
      <c r="L758">
        <v>8</v>
      </c>
      <c r="M758">
        <v>23.86</v>
      </c>
      <c r="N758">
        <v>22.666999999999998</v>
      </c>
      <c r="O758">
        <v>8</v>
      </c>
      <c r="P758">
        <v>14.666999999999998</v>
      </c>
    </row>
    <row r="759" spans="1:16" x14ac:dyDescent="0.3">
      <c r="A759" s="1">
        <v>45809</v>
      </c>
      <c r="B759" s="2" t="s">
        <v>75</v>
      </c>
      <c r="C759" s="2" t="s">
        <v>106</v>
      </c>
      <c r="D759" s="2" t="s">
        <v>41</v>
      </c>
      <c r="E759" s="2" t="s">
        <v>47</v>
      </c>
      <c r="F759" s="2" t="s">
        <v>48</v>
      </c>
      <c r="G759" s="2" t="s">
        <v>132</v>
      </c>
      <c r="H759">
        <v>1</v>
      </c>
      <c r="I759">
        <v>3</v>
      </c>
      <c r="J759">
        <v>142.12</v>
      </c>
      <c r="K759">
        <v>0</v>
      </c>
      <c r="L759">
        <v>63</v>
      </c>
      <c r="M759">
        <v>426.36</v>
      </c>
      <c r="N759">
        <v>426.36</v>
      </c>
      <c r="O759">
        <v>189</v>
      </c>
      <c r="P759">
        <v>237.36</v>
      </c>
    </row>
    <row r="760" spans="1:16" x14ac:dyDescent="0.3">
      <c r="A760" s="1">
        <v>45809</v>
      </c>
      <c r="B760" s="2" t="s">
        <v>65</v>
      </c>
      <c r="C760" s="2" t="s">
        <v>66</v>
      </c>
      <c r="D760" s="2" t="s">
        <v>50</v>
      </c>
      <c r="E760" s="2" t="s">
        <v>42</v>
      </c>
      <c r="F760" s="2" t="s">
        <v>43</v>
      </c>
      <c r="G760" s="2" t="s">
        <v>174</v>
      </c>
      <c r="H760">
        <v>1</v>
      </c>
      <c r="I760">
        <v>2</v>
      </c>
      <c r="J760">
        <v>1181.43</v>
      </c>
      <c r="K760">
        <v>0.08</v>
      </c>
      <c r="L760">
        <v>760</v>
      </c>
      <c r="M760">
        <v>2362.86</v>
      </c>
      <c r="N760">
        <v>2173.8312000000001</v>
      </c>
      <c r="O760">
        <v>1520</v>
      </c>
      <c r="P760">
        <v>653.83120000000008</v>
      </c>
    </row>
    <row r="761" spans="1:16" x14ac:dyDescent="0.3">
      <c r="A761" s="1">
        <v>45809</v>
      </c>
      <c r="B761" s="2" t="s">
        <v>39</v>
      </c>
      <c r="C761" s="2" t="s">
        <v>40</v>
      </c>
      <c r="D761" s="2" t="s">
        <v>46</v>
      </c>
      <c r="E761" s="2" t="s">
        <v>42</v>
      </c>
      <c r="F761" s="2" t="s">
        <v>43</v>
      </c>
      <c r="G761" s="2" t="s">
        <v>229</v>
      </c>
      <c r="H761">
        <v>1</v>
      </c>
      <c r="I761">
        <v>2</v>
      </c>
      <c r="J761">
        <v>1130.44</v>
      </c>
      <c r="K761">
        <v>0.1</v>
      </c>
      <c r="L761">
        <v>760</v>
      </c>
      <c r="M761">
        <v>2260.88</v>
      </c>
      <c r="N761">
        <v>2034.7920000000001</v>
      </c>
      <c r="O761">
        <v>1520</v>
      </c>
      <c r="P761">
        <v>514.79200000000014</v>
      </c>
    </row>
    <row r="762" spans="1:16" x14ac:dyDescent="0.3">
      <c r="A762" s="1">
        <v>45809</v>
      </c>
      <c r="B762" s="2" t="s">
        <v>56</v>
      </c>
      <c r="C762" s="2" t="s">
        <v>72</v>
      </c>
      <c r="D762" s="2" t="s">
        <v>95</v>
      </c>
      <c r="E762" s="2" t="s">
        <v>47</v>
      </c>
      <c r="F762" s="2" t="s">
        <v>43</v>
      </c>
      <c r="G762" s="2" t="s">
        <v>96</v>
      </c>
      <c r="H762">
        <v>1</v>
      </c>
      <c r="I762">
        <v>4</v>
      </c>
      <c r="J762">
        <v>298.81</v>
      </c>
      <c r="K762">
        <v>0.12</v>
      </c>
      <c r="L762">
        <v>182</v>
      </c>
      <c r="M762">
        <v>1195.24</v>
      </c>
      <c r="N762">
        <v>1051.8112000000001</v>
      </c>
      <c r="O762">
        <v>728</v>
      </c>
      <c r="P762">
        <v>323.8112000000001</v>
      </c>
    </row>
    <row r="763" spans="1:16" x14ac:dyDescent="0.3">
      <c r="A763" s="1">
        <v>45809</v>
      </c>
      <c r="B763" s="2" t="s">
        <v>39</v>
      </c>
      <c r="C763" s="2" t="s">
        <v>88</v>
      </c>
      <c r="D763" s="2" t="s">
        <v>41</v>
      </c>
      <c r="E763" s="2" t="s">
        <v>42</v>
      </c>
      <c r="F763" s="2" t="s">
        <v>43</v>
      </c>
      <c r="G763" s="2" t="s">
        <v>224</v>
      </c>
      <c r="H763">
        <v>1</v>
      </c>
      <c r="I763">
        <v>1</v>
      </c>
      <c r="J763">
        <v>1123.52</v>
      </c>
      <c r="K763">
        <v>0</v>
      </c>
      <c r="L763">
        <v>760</v>
      </c>
      <c r="M763">
        <v>1123.52</v>
      </c>
      <c r="N763">
        <v>1123.52</v>
      </c>
      <c r="O763">
        <v>760</v>
      </c>
      <c r="P763">
        <v>363.52</v>
      </c>
    </row>
    <row r="764" spans="1:16" x14ac:dyDescent="0.3">
      <c r="A764" s="1">
        <v>45809</v>
      </c>
      <c r="B764" s="2" t="s">
        <v>83</v>
      </c>
      <c r="C764" s="2" t="s">
        <v>84</v>
      </c>
      <c r="D764" s="2" t="s">
        <v>41</v>
      </c>
      <c r="E764" s="2" t="s">
        <v>42</v>
      </c>
      <c r="F764" s="2" t="s">
        <v>43</v>
      </c>
      <c r="G764" s="2" t="s">
        <v>85</v>
      </c>
      <c r="H764">
        <v>1</v>
      </c>
      <c r="I764">
        <v>2</v>
      </c>
      <c r="J764">
        <v>172.85</v>
      </c>
      <c r="K764">
        <v>0</v>
      </c>
      <c r="L764">
        <v>86</v>
      </c>
      <c r="M764">
        <v>345.7</v>
      </c>
      <c r="N764">
        <v>345.7</v>
      </c>
      <c r="O764">
        <v>172</v>
      </c>
      <c r="P764">
        <v>173.7</v>
      </c>
    </row>
    <row r="765" spans="1:16" x14ac:dyDescent="0.3">
      <c r="A765" s="1">
        <v>45809</v>
      </c>
      <c r="B765" s="2" t="s">
        <v>39</v>
      </c>
      <c r="C765" s="2" t="s">
        <v>88</v>
      </c>
      <c r="D765" s="2" t="s">
        <v>46</v>
      </c>
      <c r="E765" s="2" t="s">
        <v>51</v>
      </c>
      <c r="F765" s="2" t="s">
        <v>43</v>
      </c>
      <c r="G765" s="2" t="s">
        <v>210</v>
      </c>
      <c r="H765">
        <v>1</v>
      </c>
      <c r="I765">
        <v>12</v>
      </c>
      <c r="J765">
        <v>273.60000000000002</v>
      </c>
      <c r="K765">
        <v>0.1</v>
      </c>
      <c r="L765">
        <v>182</v>
      </c>
      <c r="M765">
        <v>3283.2000000000003</v>
      </c>
      <c r="N765">
        <v>2954.88</v>
      </c>
      <c r="O765">
        <v>2184</v>
      </c>
      <c r="P765">
        <v>770.88000000000011</v>
      </c>
    </row>
    <row r="766" spans="1:16" x14ac:dyDescent="0.3">
      <c r="A766" s="1">
        <v>45809</v>
      </c>
      <c r="B766" s="2" t="s">
        <v>83</v>
      </c>
      <c r="C766" s="2" t="s">
        <v>84</v>
      </c>
      <c r="D766" s="2" t="s">
        <v>46</v>
      </c>
      <c r="E766" s="2" t="s">
        <v>51</v>
      </c>
      <c r="F766" s="2" t="s">
        <v>48</v>
      </c>
      <c r="G766" s="2" t="s">
        <v>90</v>
      </c>
      <c r="H766">
        <v>1</v>
      </c>
      <c r="I766">
        <v>7</v>
      </c>
      <c r="J766">
        <v>63.97</v>
      </c>
      <c r="K766">
        <v>0.1</v>
      </c>
      <c r="L766">
        <v>31</v>
      </c>
      <c r="M766">
        <v>447.78999999999996</v>
      </c>
      <c r="N766">
        <v>403.01099999999997</v>
      </c>
      <c r="O766">
        <v>217</v>
      </c>
      <c r="P766">
        <v>186.01099999999997</v>
      </c>
    </row>
    <row r="767" spans="1:16" x14ac:dyDescent="0.3">
      <c r="A767" s="1">
        <v>45809</v>
      </c>
      <c r="B767" s="2" t="s">
        <v>39</v>
      </c>
      <c r="C767" s="2" t="s">
        <v>88</v>
      </c>
      <c r="D767" s="2" t="s">
        <v>41</v>
      </c>
      <c r="E767" s="2" t="s">
        <v>42</v>
      </c>
      <c r="F767" s="2" t="s">
        <v>52</v>
      </c>
      <c r="G767" s="2" t="s">
        <v>203</v>
      </c>
      <c r="H767">
        <v>1</v>
      </c>
      <c r="I767">
        <v>2</v>
      </c>
      <c r="J767">
        <v>216.61</v>
      </c>
      <c r="K767">
        <v>0</v>
      </c>
      <c r="L767">
        <v>124</v>
      </c>
      <c r="M767">
        <v>433.22</v>
      </c>
      <c r="N767">
        <v>433.22</v>
      </c>
      <c r="O767">
        <v>248</v>
      </c>
      <c r="P767">
        <v>185.22000000000003</v>
      </c>
    </row>
    <row r="768" spans="1:16" x14ac:dyDescent="0.3">
      <c r="A768" s="1">
        <v>45809</v>
      </c>
      <c r="B768" s="2" t="s">
        <v>39</v>
      </c>
      <c r="C768" s="2" t="s">
        <v>88</v>
      </c>
      <c r="D768" s="2" t="s">
        <v>41</v>
      </c>
      <c r="E768" s="2" t="s">
        <v>42</v>
      </c>
      <c r="F768" s="2" t="s">
        <v>43</v>
      </c>
      <c r="G768" s="2" t="s">
        <v>203</v>
      </c>
      <c r="H768">
        <v>1</v>
      </c>
      <c r="I768">
        <v>3</v>
      </c>
      <c r="J768">
        <v>284.26</v>
      </c>
      <c r="K768">
        <v>0.1</v>
      </c>
      <c r="L768">
        <v>182</v>
      </c>
      <c r="M768">
        <v>852.78</v>
      </c>
      <c r="N768">
        <v>767.50199999999995</v>
      </c>
      <c r="O768">
        <v>546</v>
      </c>
      <c r="P768">
        <v>221.50199999999995</v>
      </c>
    </row>
    <row r="769" spans="1:16" x14ac:dyDescent="0.3">
      <c r="A769" s="1">
        <v>45809</v>
      </c>
      <c r="B769" s="2" t="s">
        <v>83</v>
      </c>
      <c r="C769" s="2" t="s">
        <v>84</v>
      </c>
      <c r="D769" s="2" t="s">
        <v>41</v>
      </c>
      <c r="E769" s="2" t="s">
        <v>51</v>
      </c>
      <c r="F769" s="2" t="s">
        <v>48</v>
      </c>
      <c r="G769" s="2" t="s">
        <v>222</v>
      </c>
      <c r="H769">
        <v>2</v>
      </c>
      <c r="I769">
        <v>16</v>
      </c>
      <c r="J769">
        <v>65.94</v>
      </c>
      <c r="K769">
        <v>0</v>
      </c>
      <c r="L769">
        <v>31</v>
      </c>
      <c r="M769">
        <v>1055.04</v>
      </c>
      <c r="N769">
        <v>1055.04</v>
      </c>
      <c r="O769">
        <v>496</v>
      </c>
      <c r="P769">
        <v>559.04</v>
      </c>
    </row>
    <row r="770" spans="1:16" x14ac:dyDescent="0.3">
      <c r="A770" s="1">
        <v>45809</v>
      </c>
      <c r="B770" s="2" t="s">
        <v>83</v>
      </c>
      <c r="C770" s="2" t="s">
        <v>84</v>
      </c>
      <c r="D770" s="2" t="s">
        <v>41</v>
      </c>
      <c r="E770" s="2" t="s">
        <v>51</v>
      </c>
      <c r="F770" s="2" t="s">
        <v>43</v>
      </c>
      <c r="G770" s="2" t="s">
        <v>222</v>
      </c>
      <c r="H770">
        <v>1</v>
      </c>
      <c r="I770">
        <v>8</v>
      </c>
      <c r="J770">
        <v>264.64999999999998</v>
      </c>
      <c r="K770">
        <v>0</v>
      </c>
      <c r="L770">
        <v>182</v>
      </c>
      <c r="M770">
        <v>2117.1999999999998</v>
      </c>
      <c r="N770">
        <v>2117.1999999999998</v>
      </c>
      <c r="O770">
        <v>1456</v>
      </c>
      <c r="P770">
        <v>661.19999999999982</v>
      </c>
    </row>
    <row r="771" spans="1:16" x14ac:dyDescent="0.3">
      <c r="A771" s="1">
        <v>45992</v>
      </c>
      <c r="B771" s="2" t="s">
        <v>39</v>
      </c>
      <c r="C771" s="2" t="s">
        <v>92</v>
      </c>
      <c r="D771" s="2" t="s">
        <v>50</v>
      </c>
      <c r="E771" s="2" t="s">
        <v>42</v>
      </c>
      <c r="F771" s="2" t="s">
        <v>48</v>
      </c>
      <c r="G771" s="2" t="s">
        <v>109</v>
      </c>
      <c r="H771">
        <v>1</v>
      </c>
      <c r="I771">
        <v>3</v>
      </c>
      <c r="J771">
        <v>94.2</v>
      </c>
      <c r="K771">
        <v>0.05</v>
      </c>
      <c r="L771">
        <v>39</v>
      </c>
      <c r="M771">
        <v>282.60000000000002</v>
      </c>
      <c r="N771">
        <v>268.47000000000003</v>
      </c>
      <c r="O771">
        <v>117</v>
      </c>
      <c r="P771">
        <v>151.47000000000003</v>
      </c>
    </row>
    <row r="772" spans="1:16" x14ac:dyDescent="0.3">
      <c r="A772" s="1">
        <v>45992</v>
      </c>
      <c r="B772" s="2" t="s">
        <v>39</v>
      </c>
      <c r="C772" s="2" t="s">
        <v>92</v>
      </c>
      <c r="D772" s="2" t="s">
        <v>50</v>
      </c>
      <c r="E772" s="2" t="s">
        <v>42</v>
      </c>
      <c r="F772" s="2" t="s">
        <v>43</v>
      </c>
      <c r="G772" s="2" t="s">
        <v>109</v>
      </c>
      <c r="H772">
        <v>2</v>
      </c>
      <c r="I772">
        <v>6</v>
      </c>
      <c r="J772">
        <v>384.34000000000003</v>
      </c>
      <c r="K772">
        <v>0.1</v>
      </c>
      <c r="L772">
        <v>240.5</v>
      </c>
      <c r="M772">
        <v>2306.04</v>
      </c>
      <c r="N772">
        <v>2100.2736</v>
      </c>
      <c r="O772">
        <v>1443</v>
      </c>
      <c r="P772">
        <v>657.2736000000001</v>
      </c>
    </row>
    <row r="773" spans="1:16" x14ac:dyDescent="0.3">
      <c r="A773" s="1">
        <v>45809</v>
      </c>
      <c r="B773" s="2" t="s">
        <v>65</v>
      </c>
      <c r="C773" s="2" t="s">
        <v>66</v>
      </c>
      <c r="D773" s="2" t="s">
        <v>50</v>
      </c>
      <c r="E773" s="2" t="s">
        <v>42</v>
      </c>
      <c r="F773" s="2" t="s">
        <v>43</v>
      </c>
      <c r="G773" s="2" t="s">
        <v>195</v>
      </c>
      <c r="H773">
        <v>1</v>
      </c>
      <c r="I773">
        <v>2</v>
      </c>
      <c r="J773">
        <v>291.68</v>
      </c>
      <c r="K773">
        <v>0.05</v>
      </c>
      <c r="L773">
        <v>182</v>
      </c>
      <c r="M773">
        <v>583.36</v>
      </c>
      <c r="N773">
        <v>554.19200000000001</v>
      </c>
      <c r="O773">
        <v>364</v>
      </c>
      <c r="P773">
        <v>190.19200000000001</v>
      </c>
    </row>
    <row r="774" spans="1:16" x14ac:dyDescent="0.3">
      <c r="A774" s="1">
        <v>45809</v>
      </c>
      <c r="B774" s="2" t="s">
        <v>39</v>
      </c>
      <c r="C774" s="2" t="s">
        <v>40</v>
      </c>
      <c r="D774" s="2" t="s">
        <v>50</v>
      </c>
      <c r="E774" s="2" t="s">
        <v>51</v>
      </c>
      <c r="F774" s="2" t="s">
        <v>48</v>
      </c>
      <c r="G774" s="2" t="s">
        <v>214</v>
      </c>
      <c r="H774">
        <v>1</v>
      </c>
      <c r="I774">
        <v>12</v>
      </c>
      <c r="J774">
        <v>22.3</v>
      </c>
      <c r="K774">
        <v>0.05</v>
      </c>
      <c r="L774">
        <v>8</v>
      </c>
      <c r="M774">
        <v>267.60000000000002</v>
      </c>
      <c r="N774">
        <v>254.22</v>
      </c>
      <c r="O774">
        <v>96</v>
      </c>
      <c r="P774">
        <v>158.22</v>
      </c>
    </row>
    <row r="775" spans="1:16" x14ac:dyDescent="0.3">
      <c r="A775" s="1">
        <v>45809</v>
      </c>
      <c r="B775" s="2" t="s">
        <v>39</v>
      </c>
      <c r="C775" s="2" t="s">
        <v>40</v>
      </c>
      <c r="D775" s="2" t="s">
        <v>50</v>
      </c>
      <c r="E775" s="2" t="s">
        <v>51</v>
      </c>
      <c r="F775" s="2" t="s">
        <v>43</v>
      </c>
      <c r="G775" s="2" t="s">
        <v>214</v>
      </c>
      <c r="H775">
        <v>2</v>
      </c>
      <c r="I775">
        <v>15</v>
      </c>
      <c r="J775">
        <v>427.78500000000003</v>
      </c>
      <c r="K775">
        <v>6.5000000000000002E-2</v>
      </c>
      <c r="L775">
        <v>287</v>
      </c>
      <c r="M775">
        <v>4764</v>
      </c>
      <c r="N775">
        <v>4496.6310000000003</v>
      </c>
      <c r="O775">
        <v>3140</v>
      </c>
      <c r="P775">
        <v>1356.6310000000003</v>
      </c>
    </row>
    <row r="776" spans="1:16" x14ac:dyDescent="0.3">
      <c r="A776" s="1">
        <v>45809</v>
      </c>
      <c r="B776" s="2" t="s">
        <v>39</v>
      </c>
      <c r="C776" s="2" t="s">
        <v>45</v>
      </c>
      <c r="D776" s="2" t="s">
        <v>41</v>
      </c>
      <c r="E776" s="2" t="s">
        <v>51</v>
      </c>
      <c r="F776" s="2" t="s">
        <v>43</v>
      </c>
      <c r="G776" s="2" t="s">
        <v>94</v>
      </c>
      <c r="H776">
        <v>1</v>
      </c>
      <c r="I776">
        <v>6</v>
      </c>
      <c r="J776">
        <v>1066.6099999999999</v>
      </c>
      <c r="K776">
        <v>0</v>
      </c>
      <c r="L776">
        <v>760</v>
      </c>
      <c r="M776">
        <v>6399.66</v>
      </c>
      <c r="N776">
        <v>6399.66</v>
      </c>
      <c r="O776">
        <v>4560</v>
      </c>
      <c r="P776">
        <v>1839.6599999999999</v>
      </c>
    </row>
    <row r="777" spans="1:16" x14ac:dyDescent="0.3">
      <c r="A777" s="1">
        <v>45809</v>
      </c>
      <c r="B777" s="2" t="s">
        <v>39</v>
      </c>
      <c r="C777" s="2" t="s">
        <v>88</v>
      </c>
      <c r="D777" s="2" t="s">
        <v>50</v>
      </c>
      <c r="E777" s="2" t="s">
        <v>47</v>
      </c>
      <c r="F777" s="2" t="s">
        <v>43</v>
      </c>
      <c r="G777" s="2" t="s">
        <v>192</v>
      </c>
      <c r="H777">
        <v>1</v>
      </c>
      <c r="I777">
        <v>3</v>
      </c>
      <c r="J777">
        <v>635.45000000000005</v>
      </c>
      <c r="K777">
        <v>0.05</v>
      </c>
      <c r="L777">
        <v>395</v>
      </c>
      <c r="M777">
        <v>1906.3500000000001</v>
      </c>
      <c r="N777">
        <v>1811.0325</v>
      </c>
      <c r="O777">
        <v>1185</v>
      </c>
      <c r="P777">
        <v>626.03250000000003</v>
      </c>
    </row>
    <row r="778" spans="1:16" x14ac:dyDescent="0.3">
      <c r="A778" s="1">
        <v>45809</v>
      </c>
      <c r="B778" s="2" t="s">
        <v>39</v>
      </c>
      <c r="C778" s="2" t="s">
        <v>40</v>
      </c>
      <c r="D778" s="2" t="s">
        <v>46</v>
      </c>
      <c r="E778" s="2" t="s">
        <v>47</v>
      </c>
      <c r="F778" s="2" t="s">
        <v>43</v>
      </c>
      <c r="G778" s="2" t="s">
        <v>207</v>
      </c>
      <c r="H778">
        <v>1</v>
      </c>
      <c r="I778">
        <v>4</v>
      </c>
      <c r="J778">
        <v>295.06</v>
      </c>
      <c r="K778">
        <v>0.1</v>
      </c>
      <c r="L778">
        <v>182</v>
      </c>
      <c r="M778">
        <v>1180.24</v>
      </c>
      <c r="N778">
        <v>1062.2160000000001</v>
      </c>
      <c r="O778">
        <v>728</v>
      </c>
      <c r="P778">
        <v>334.21600000000012</v>
      </c>
    </row>
    <row r="779" spans="1:16" x14ac:dyDescent="0.3">
      <c r="A779" s="1">
        <v>45809</v>
      </c>
      <c r="B779" s="2" t="s">
        <v>39</v>
      </c>
      <c r="C779" s="2" t="s">
        <v>40</v>
      </c>
      <c r="D779" s="2" t="s">
        <v>46</v>
      </c>
      <c r="E779" s="2" t="s">
        <v>47</v>
      </c>
      <c r="F779" s="2" t="s">
        <v>48</v>
      </c>
      <c r="G779" s="2" t="s">
        <v>207</v>
      </c>
      <c r="H779">
        <v>1</v>
      </c>
      <c r="I779">
        <v>5</v>
      </c>
      <c r="J779">
        <v>75.92</v>
      </c>
      <c r="K779">
        <v>0.08</v>
      </c>
      <c r="L779">
        <v>31</v>
      </c>
      <c r="M779">
        <v>379.6</v>
      </c>
      <c r="N779">
        <v>349.23200000000003</v>
      </c>
      <c r="O779">
        <v>155</v>
      </c>
      <c r="P779">
        <v>194.23200000000003</v>
      </c>
    </row>
    <row r="780" spans="1:16" x14ac:dyDescent="0.3">
      <c r="A780" s="1">
        <v>45809</v>
      </c>
      <c r="B780" s="2" t="s">
        <v>56</v>
      </c>
      <c r="C780" s="2" t="s">
        <v>57</v>
      </c>
      <c r="D780" s="2" t="s">
        <v>46</v>
      </c>
      <c r="E780" s="2" t="s">
        <v>42</v>
      </c>
      <c r="F780" s="2" t="s">
        <v>43</v>
      </c>
      <c r="G780" s="2" t="s">
        <v>116</v>
      </c>
      <c r="H780">
        <v>1</v>
      </c>
      <c r="I780">
        <v>1</v>
      </c>
      <c r="J780">
        <v>1130.8900000000001</v>
      </c>
      <c r="K780">
        <v>0.12</v>
      </c>
      <c r="L780">
        <v>760</v>
      </c>
      <c r="M780">
        <v>1130.8900000000001</v>
      </c>
      <c r="N780">
        <v>995.18320000000006</v>
      </c>
      <c r="O780">
        <v>760</v>
      </c>
      <c r="P780">
        <v>235.18320000000006</v>
      </c>
    </row>
    <row r="781" spans="1:16" x14ac:dyDescent="0.3">
      <c r="A781" s="1">
        <v>45809</v>
      </c>
      <c r="B781" s="2" t="s">
        <v>56</v>
      </c>
      <c r="C781" s="2" t="s">
        <v>57</v>
      </c>
      <c r="D781" s="2" t="s">
        <v>46</v>
      </c>
      <c r="E781" s="2" t="s">
        <v>42</v>
      </c>
      <c r="F781" s="2" t="s">
        <v>48</v>
      </c>
      <c r="G781" s="2" t="s">
        <v>116</v>
      </c>
      <c r="H781">
        <v>1</v>
      </c>
      <c r="I781">
        <v>3</v>
      </c>
      <c r="J781">
        <v>134.16999999999999</v>
      </c>
      <c r="K781">
        <v>0.1</v>
      </c>
      <c r="L781">
        <v>63</v>
      </c>
      <c r="M781">
        <v>402.51</v>
      </c>
      <c r="N781">
        <v>362.25900000000001</v>
      </c>
      <c r="O781">
        <v>189</v>
      </c>
      <c r="P781">
        <v>173.25900000000001</v>
      </c>
    </row>
    <row r="782" spans="1:16" x14ac:dyDescent="0.3">
      <c r="A782" s="1">
        <v>45809</v>
      </c>
      <c r="B782" s="2" t="s">
        <v>39</v>
      </c>
      <c r="C782" s="2" t="s">
        <v>92</v>
      </c>
      <c r="D782" s="2" t="s">
        <v>50</v>
      </c>
      <c r="E782" s="2" t="s">
        <v>42</v>
      </c>
      <c r="F782" s="2" t="s">
        <v>43</v>
      </c>
      <c r="G782" s="2" t="s">
        <v>130</v>
      </c>
      <c r="H782">
        <v>1</v>
      </c>
      <c r="I782">
        <v>1</v>
      </c>
      <c r="J782">
        <v>110.68</v>
      </c>
      <c r="K782">
        <v>0.08</v>
      </c>
      <c r="L782">
        <v>54</v>
      </c>
      <c r="M782">
        <v>110.68</v>
      </c>
      <c r="N782">
        <v>101.82560000000001</v>
      </c>
      <c r="O782">
        <v>54</v>
      </c>
      <c r="P782">
        <v>47.825600000000009</v>
      </c>
    </row>
    <row r="783" spans="1:16" x14ac:dyDescent="0.3">
      <c r="A783" s="1">
        <v>45809</v>
      </c>
      <c r="B783" s="2" t="s">
        <v>39</v>
      </c>
      <c r="C783" s="2" t="s">
        <v>92</v>
      </c>
      <c r="D783" s="2" t="s">
        <v>50</v>
      </c>
      <c r="E783" s="2" t="s">
        <v>42</v>
      </c>
      <c r="F783" s="2" t="s">
        <v>52</v>
      </c>
      <c r="G783" s="2" t="s">
        <v>130</v>
      </c>
      <c r="H783">
        <v>1</v>
      </c>
      <c r="I783">
        <v>2</v>
      </c>
      <c r="J783">
        <v>43.14</v>
      </c>
      <c r="K783">
        <v>0.08</v>
      </c>
      <c r="L783">
        <v>18</v>
      </c>
      <c r="M783">
        <v>86.28</v>
      </c>
      <c r="N783">
        <v>79.377600000000001</v>
      </c>
      <c r="O783">
        <v>36</v>
      </c>
      <c r="P783">
        <v>43.377600000000001</v>
      </c>
    </row>
    <row r="784" spans="1:16" x14ac:dyDescent="0.3">
      <c r="A784" s="1">
        <v>45809</v>
      </c>
      <c r="B784" s="2" t="s">
        <v>39</v>
      </c>
      <c r="C784" s="2" t="s">
        <v>88</v>
      </c>
      <c r="D784" s="2" t="s">
        <v>41</v>
      </c>
      <c r="E784" s="2" t="s">
        <v>47</v>
      </c>
      <c r="F784" s="2" t="s">
        <v>48</v>
      </c>
      <c r="G784" s="2" t="s">
        <v>224</v>
      </c>
      <c r="H784">
        <v>1</v>
      </c>
      <c r="I784">
        <v>6</v>
      </c>
      <c r="J784">
        <v>73.69</v>
      </c>
      <c r="K784">
        <v>0</v>
      </c>
      <c r="L784">
        <v>31</v>
      </c>
      <c r="M784">
        <v>442.14</v>
      </c>
      <c r="N784">
        <v>442.14</v>
      </c>
      <c r="O784">
        <v>186</v>
      </c>
      <c r="P784">
        <v>256.14</v>
      </c>
    </row>
    <row r="785" spans="1:16" x14ac:dyDescent="0.3">
      <c r="A785" s="1">
        <v>45809</v>
      </c>
      <c r="B785" s="2" t="s">
        <v>39</v>
      </c>
      <c r="C785" s="2" t="s">
        <v>92</v>
      </c>
      <c r="D785" s="2" t="s">
        <v>46</v>
      </c>
      <c r="E785" s="2" t="s">
        <v>42</v>
      </c>
      <c r="F785" s="2" t="s">
        <v>43</v>
      </c>
      <c r="G785" s="2" t="s">
        <v>166</v>
      </c>
      <c r="H785">
        <v>1</v>
      </c>
      <c r="I785">
        <v>1</v>
      </c>
      <c r="J785">
        <v>180.24</v>
      </c>
      <c r="K785">
        <v>0.15</v>
      </c>
      <c r="L785">
        <v>86</v>
      </c>
      <c r="M785">
        <v>180.24</v>
      </c>
      <c r="N785">
        <v>153.20400000000001</v>
      </c>
      <c r="O785">
        <v>86</v>
      </c>
      <c r="P785">
        <v>67.204000000000008</v>
      </c>
    </row>
    <row r="786" spans="1:16" x14ac:dyDescent="0.3">
      <c r="A786" s="1">
        <v>45809</v>
      </c>
      <c r="B786" s="2" t="s">
        <v>39</v>
      </c>
      <c r="C786" s="2" t="s">
        <v>40</v>
      </c>
      <c r="D786" s="2" t="s">
        <v>41</v>
      </c>
      <c r="E786" s="2" t="s">
        <v>42</v>
      </c>
      <c r="F786" s="2" t="s">
        <v>52</v>
      </c>
      <c r="G786" s="2" t="s">
        <v>200</v>
      </c>
      <c r="H786">
        <v>1</v>
      </c>
      <c r="I786">
        <v>3</v>
      </c>
      <c r="J786">
        <v>213.23</v>
      </c>
      <c r="K786">
        <v>0</v>
      </c>
      <c r="L786">
        <v>124</v>
      </c>
      <c r="M786">
        <v>639.68999999999994</v>
      </c>
      <c r="N786">
        <v>639.68999999999994</v>
      </c>
      <c r="O786">
        <v>372</v>
      </c>
      <c r="P786">
        <v>267.68999999999994</v>
      </c>
    </row>
    <row r="787" spans="1:16" x14ac:dyDescent="0.3">
      <c r="A787" s="1">
        <v>45809</v>
      </c>
      <c r="B787" s="2" t="s">
        <v>39</v>
      </c>
      <c r="C787" s="2" t="s">
        <v>40</v>
      </c>
      <c r="D787" s="2" t="s">
        <v>41</v>
      </c>
      <c r="E787" s="2" t="s">
        <v>42</v>
      </c>
      <c r="F787" s="2" t="s">
        <v>48</v>
      </c>
      <c r="G787" s="2" t="s">
        <v>200</v>
      </c>
      <c r="H787">
        <v>1</v>
      </c>
      <c r="I787">
        <v>4</v>
      </c>
      <c r="J787">
        <v>141.59</v>
      </c>
      <c r="K787">
        <v>0.1</v>
      </c>
      <c r="L787">
        <v>63</v>
      </c>
      <c r="M787">
        <v>566.36</v>
      </c>
      <c r="N787">
        <v>509.72400000000005</v>
      </c>
      <c r="O787">
        <v>252</v>
      </c>
      <c r="P787">
        <v>257.72400000000005</v>
      </c>
    </row>
    <row r="788" spans="1:16" x14ac:dyDescent="0.3">
      <c r="A788" s="1">
        <v>45809</v>
      </c>
      <c r="B788" s="2" t="s">
        <v>39</v>
      </c>
      <c r="C788" s="2" t="s">
        <v>40</v>
      </c>
      <c r="D788" s="2" t="s">
        <v>41</v>
      </c>
      <c r="E788" s="2" t="s">
        <v>42</v>
      </c>
      <c r="F788" s="2" t="s">
        <v>52</v>
      </c>
      <c r="G788" s="2" t="s">
        <v>189</v>
      </c>
      <c r="H788">
        <v>1</v>
      </c>
      <c r="I788">
        <v>2</v>
      </c>
      <c r="J788">
        <v>43.83</v>
      </c>
      <c r="K788">
        <v>0</v>
      </c>
      <c r="L788">
        <v>18</v>
      </c>
      <c r="M788">
        <v>87.66</v>
      </c>
      <c r="N788">
        <v>87.66</v>
      </c>
      <c r="O788">
        <v>36</v>
      </c>
      <c r="P788">
        <v>51.66</v>
      </c>
    </row>
    <row r="789" spans="1:16" x14ac:dyDescent="0.3">
      <c r="A789" s="1">
        <v>45809</v>
      </c>
      <c r="B789" s="2" t="s">
        <v>65</v>
      </c>
      <c r="C789" s="2" t="s">
        <v>66</v>
      </c>
      <c r="D789" s="2" t="s">
        <v>41</v>
      </c>
      <c r="E789" s="2" t="s">
        <v>42</v>
      </c>
      <c r="F789" s="2" t="s">
        <v>48</v>
      </c>
      <c r="G789" s="2" t="s">
        <v>176</v>
      </c>
      <c r="H789">
        <v>1</v>
      </c>
      <c r="I789">
        <v>3</v>
      </c>
      <c r="J789">
        <v>73.36</v>
      </c>
      <c r="K789">
        <v>0</v>
      </c>
      <c r="L789">
        <v>31</v>
      </c>
      <c r="M789">
        <v>220.07999999999998</v>
      </c>
      <c r="N789">
        <v>220.07999999999998</v>
      </c>
      <c r="O789">
        <v>93</v>
      </c>
      <c r="P789">
        <v>127.07999999999998</v>
      </c>
    </row>
    <row r="790" spans="1:16" x14ac:dyDescent="0.3">
      <c r="A790" s="1">
        <v>45809</v>
      </c>
      <c r="B790" s="2" t="s">
        <v>39</v>
      </c>
      <c r="C790" s="2" t="s">
        <v>92</v>
      </c>
      <c r="D790" s="2" t="s">
        <v>46</v>
      </c>
      <c r="E790" s="2" t="s">
        <v>42</v>
      </c>
      <c r="F790" s="2" t="s">
        <v>48</v>
      </c>
      <c r="G790" s="2" t="s">
        <v>93</v>
      </c>
      <c r="H790">
        <v>2</v>
      </c>
      <c r="I790">
        <v>4</v>
      </c>
      <c r="J790">
        <v>105.20500000000001</v>
      </c>
      <c r="K790">
        <v>0.1</v>
      </c>
      <c r="L790">
        <v>47</v>
      </c>
      <c r="M790">
        <v>355.19000000000005</v>
      </c>
      <c r="N790">
        <v>321.25400000000002</v>
      </c>
      <c r="O790">
        <v>156</v>
      </c>
      <c r="P790">
        <v>165.25400000000005</v>
      </c>
    </row>
    <row r="791" spans="1:16" x14ac:dyDescent="0.3">
      <c r="A791" s="1">
        <v>45809</v>
      </c>
      <c r="B791" s="2" t="s">
        <v>39</v>
      </c>
      <c r="C791" s="2" t="s">
        <v>92</v>
      </c>
      <c r="D791" s="2" t="s">
        <v>46</v>
      </c>
      <c r="E791" s="2" t="s">
        <v>42</v>
      </c>
      <c r="F791" s="2" t="s">
        <v>43</v>
      </c>
      <c r="G791" s="2" t="s">
        <v>93</v>
      </c>
      <c r="H791">
        <v>1</v>
      </c>
      <c r="I791">
        <v>2</v>
      </c>
      <c r="J791">
        <v>819.5</v>
      </c>
      <c r="K791">
        <v>0.05</v>
      </c>
      <c r="L791">
        <v>520</v>
      </c>
      <c r="M791">
        <v>1639</v>
      </c>
      <c r="N791">
        <v>1557.05</v>
      </c>
      <c r="O791">
        <v>1040</v>
      </c>
      <c r="P791">
        <v>517.04999999999995</v>
      </c>
    </row>
    <row r="792" spans="1:16" x14ac:dyDescent="0.3">
      <c r="A792" s="1">
        <v>45809</v>
      </c>
      <c r="B792" s="2" t="s">
        <v>39</v>
      </c>
      <c r="C792" s="2" t="s">
        <v>78</v>
      </c>
      <c r="D792" s="2" t="s">
        <v>41</v>
      </c>
      <c r="E792" s="2" t="s">
        <v>42</v>
      </c>
      <c r="F792" s="2" t="s">
        <v>43</v>
      </c>
      <c r="G792" s="2" t="s">
        <v>119</v>
      </c>
      <c r="H792">
        <v>1</v>
      </c>
      <c r="I792">
        <v>3</v>
      </c>
      <c r="J792">
        <v>640.21</v>
      </c>
      <c r="K792">
        <v>0.1</v>
      </c>
      <c r="L792">
        <v>395</v>
      </c>
      <c r="M792">
        <v>1920.63</v>
      </c>
      <c r="N792">
        <v>1728.5670000000002</v>
      </c>
      <c r="O792">
        <v>1185</v>
      </c>
      <c r="P792">
        <v>543.56700000000023</v>
      </c>
    </row>
    <row r="793" spans="1:16" x14ac:dyDescent="0.3">
      <c r="A793" s="1">
        <v>45962</v>
      </c>
      <c r="B793" s="2" t="s">
        <v>39</v>
      </c>
      <c r="C793" s="2" t="s">
        <v>92</v>
      </c>
      <c r="D793" s="2" t="s">
        <v>41</v>
      </c>
      <c r="E793" s="2" t="s">
        <v>51</v>
      </c>
      <c r="F793" s="2" t="s">
        <v>52</v>
      </c>
      <c r="G793" s="2" t="s">
        <v>187</v>
      </c>
      <c r="H793">
        <v>1</v>
      </c>
      <c r="I793">
        <v>12</v>
      </c>
      <c r="J793">
        <v>193.52</v>
      </c>
      <c r="K793">
        <v>0</v>
      </c>
      <c r="L793">
        <v>124</v>
      </c>
      <c r="M793">
        <v>2322.2400000000002</v>
      </c>
      <c r="N793">
        <v>2322.2400000000002</v>
      </c>
      <c r="O793">
        <v>1488</v>
      </c>
      <c r="P793">
        <v>834.24000000000024</v>
      </c>
    </row>
    <row r="794" spans="1:16" x14ac:dyDescent="0.3">
      <c r="A794" s="1">
        <v>45962</v>
      </c>
      <c r="B794" s="2" t="s">
        <v>39</v>
      </c>
      <c r="C794" s="2" t="s">
        <v>92</v>
      </c>
      <c r="D794" s="2" t="s">
        <v>41</v>
      </c>
      <c r="E794" s="2" t="s">
        <v>51</v>
      </c>
      <c r="F794" s="2" t="s">
        <v>48</v>
      </c>
      <c r="G794" s="2" t="s">
        <v>187</v>
      </c>
      <c r="H794">
        <v>1</v>
      </c>
      <c r="I794">
        <v>16</v>
      </c>
      <c r="J794">
        <v>84.04</v>
      </c>
      <c r="K794">
        <v>0</v>
      </c>
      <c r="L794">
        <v>39</v>
      </c>
      <c r="M794">
        <v>1344.64</v>
      </c>
      <c r="N794">
        <v>1344.64</v>
      </c>
      <c r="O794">
        <v>624</v>
      </c>
      <c r="P794">
        <v>720.6400000000001</v>
      </c>
    </row>
    <row r="795" spans="1:16" x14ac:dyDescent="0.3">
      <c r="A795" s="1">
        <v>45809</v>
      </c>
      <c r="B795" s="2" t="s">
        <v>39</v>
      </c>
      <c r="C795" s="2" t="s">
        <v>92</v>
      </c>
      <c r="D795" s="2" t="s">
        <v>46</v>
      </c>
      <c r="E795" s="2" t="s">
        <v>42</v>
      </c>
      <c r="F795" s="2" t="s">
        <v>43</v>
      </c>
      <c r="G795" s="2" t="s">
        <v>184</v>
      </c>
      <c r="H795">
        <v>1</v>
      </c>
      <c r="I795">
        <v>3</v>
      </c>
      <c r="J795">
        <v>799.76</v>
      </c>
      <c r="K795">
        <v>0.12</v>
      </c>
      <c r="L795">
        <v>520</v>
      </c>
      <c r="M795">
        <v>2399.2799999999997</v>
      </c>
      <c r="N795">
        <v>2111.3663999999999</v>
      </c>
      <c r="O795">
        <v>1560</v>
      </c>
      <c r="P795">
        <v>551.36639999999989</v>
      </c>
    </row>
    <row r="796" spans="1:16" x14ac:dyDescent="0.3">
      <c r="A796" s="1">
        <v>45809</v>
      </c>
      <c r="B796" s="2" t="s">
        <v>39</v>
      </c>
      <c r="C796" s="2" t="s">
        <v>92</v>
      </c>
      <c r="D796" s="2" t="s">
        <v>46</v>
      </c>
      <c r="E796" s="2" t="s">
        <v>47</v>
      </c>
      <c r="F796" s="2" t="s">
        <v>43</v>
      </c>
      <c r="G796" s="2" t="s">
        <v>169</v>
      </c>
      <c r="H796">
        <v>1</v>
      </c>
      <c r="I796">
        <v>4</v>
      </c>
      <c r="J796">
        <v>110.63</v>
      </c>
      <c r="K796">
        <v>0.12</v>
      </c>
      <c r="L796">
        <v>54</v>
      </c>
      <c r="M796">
        <v>442.52</v>
      </c>
      <c r="N796">
        <v>389.41759999999999</v>
      </c>
      <c r="O796">
        <v>216</v>
      </c>
      <c r="P796">
        <v>173.41759999999999</v>
      </c>
    </row>
    <row r="797" spans="1:16" x14ac:dyDescent="0.3">
      <c r="A797" s="1">
        <v>45809</v>
      </c>
      <c r="B797" s="2" t="s">
        <v>56</v>
      </c>
      <c r="C797" s="2" t="s">
        <v>72</v>
      </c>
      <c r="D797" s="2" t="s">
        <v>50</v>
      </c>
      <c r="E797" s="2" t="s">
        <v>47</v>
      </c>
      <c r="F797" s="2" t="s">
        <v>43</v>
      </c>
      <c r="G797" s="2" t="s">
        <v>118</v>
      </c>
      <c r="H797">
        <v>2</v>
      </c>
      <c r="I797">
        <v>2</v>
      </c>
      <c r="J797">
        <v>470.05</v>
      </c>
      <c r="K797">
        <v>0.04</v>
      </c>
      <c r="L797">
        <v>287</v>
      </c>
      <c r="M797">
        <v>940.09999999999991</v>
      </c>
      <c r="N797">
        <v>931.52479999999991</v>
      </c>
      <c r="O797">
        <v>574</v>
      </c>
      <c r="P797">
        <v>357.52479999999997</v>
      </c>
    </row>
    <row r="798" spans="1:16" x14ac:dyDescent="0.3">
      <c r="A798" s="1">
        <v>45809</v>
      </c>
      <c r="B798" s="2" t="s">
        <v>39</v>
      </c>
      <c r="C798" s="2" t="s">
        <v>92</v>
      </c>
      <c r="D798" s="2" t="s">
        <v>50</v>
      </c>
      <c r="E798" s="2" t="s">
        <v>51</v>
      </c>
      <c r="F798" s="2" t="s">
        <v>48</v>
      </c>
      <c r="G798" s="2" t="s">
        <v>160</v>
      </c>
      <c r="H798">
        <v>1</v>
      </c>
      <c r="I798">
        <v>18</v>
      </c>
      <c r="J798">
        <v>81.88</v>
      </c>
      <c r="K798">
        <v>0.1</v>
      </c>
      <c r="L798">
        <v>39</v>
      </c>
      <c r="M798">
        <v>1473.84</v>
      </c>
      <c r="N798">
        <v>1326.4559999999999</v>
      </c>
      <c r="O798">
        <v>702</v>
      </c>
      <c r="P798">
        <v>624.4559999999999</v>
      </c>
    </row>
    <row r="799" spans="1:16" x14ac:dyDescent="0.3">
      <c r="A799" s="1">
        <v>45809</v>
      </c>
      <c r="B799" s="2" t="s">
        <v>39</v>
      </c>
      <c r="C799" s="2" t="s">
        <v>92</v>
      </c>
      <c r="D799" s="2" t="s">
        <v>50</v>
      </c>
      <c r="E799" s="2" t="s">
        <v>47</v>
      </c>
      <c r="F799" s="2" t="s">
        <v>43</v>
      </c>
      <c r="G799" s="2" t="s">
        <v>230</v>
      </c>
      <c r="H799">
        <v>1</v>
      </c>
      <c r="I799">
        <v>2</v>
      </c>
      <c r="J799">
        <v>108.17</v>
      </c>
      <c r="K799">
        <v>0.05</v>
      </c>
      <c r="L799">
        <v>54</v>
      </c>
      <c r="M799">
        <v>216.34</v>
      </c>
      <c r="N799">
        <v>205.523</v>
      </c>
      <c r="O799">
        <v>108</v>
      </c>
      <c r="P799">
        <v>97.522999999999996</v>
      </c>
    </row>
    <row r="800" spans="1:16" x14ac:dyDescent="0.3">
      <c r="A800" s="1">
        <v>45809</v>
      </c>
      <c r="B800" s="2" t="s">
        <v>39</v>
      </c>
      <c r="C800" s="2" t="s">
        <v>92</v>
      </c>
      <c r="D800" s="2" t="s">
        <v>50</v>
      </c>
      <c r="E800" s="2" t="s">
        <v>47</v>
      </c>
      <c r="F800" s="2" t="s">
        <v>48</v>
      </c>
      <c r="G800" s="2" t="s">
        <v>230</v>
      </c>
      <c r="H800">
        <v>1</v>
      </c>
      <c r="I800">
        <v>2</v>
      </c>
      <c r="J800">
        <v>93.84</v>
      </c>
      <c r="K800">
        <v>0.1</v>
      </c>
      <c r="L800">
        <v>39</v>
      </c>
      <c r="M800">
        <v>187.68</v>
      </c>
      <c r="N800">
        <v>168.91200000000001</v>
      </c>
      <c r="O800">
        <v>78</v>
      </c>
      <c r="P800">
        <v>90.912000000000006</v>
      </c>
    </row>
    <row r="801" spans="1:16" x14ac:dyDescent="0.3">
      <c r="A801" s="1">
        <v>45809</v>
      </c>
      <c r="B801" s="2" t="s">
        <v>39</v>
      </c>
      <c r="C801" s="2" t="s">
        <v>92</v>
      </c>
      <c r="D801" s="2" t="s">
        <v>41</v>
      </c>
      <c r="E801" s="2" t="s">
        <v>51</v>
      </c>
      <c r="F801" s="2" t="s">
        <v>52</v>
      </c>
      <c r="G801" s="2" t="s">
        <v>148</v>
      </c>
      <c r="H801">
        <v>1</v>
      </c>
      <c r="I801">
        <v>11</v>
      </c>
      <c r="J801">
        <v>186.49</v>
      </c>
      <c r="K801">
        <v>0.05</v>
      </c>
      <c r="L801">
        <v>124</v>
      </c>
      <c r="M801">
        <v>2051.3900000000003</v>
      </c>
      <c r="N801">
        <v>1948.8205000000003</v>
      </c>
      <c r="O801">
        <v>1364</v>
      </c>
      <c r="P801">
        <v>584.82050000000027</v>
      </c>
    </row>
    <row r="802" spans="1:16" x14ac:dyDescent="0.3">
      <c r="A802" s="1">
        <v>45809</v>
      </c>
      <c r="B802" s="2" t="s">
        <v>83</v>
      </c>
      <c r="C802" s="2" t="s">
        <v>164</v>
      </c>
      <c r="D802" s="2" t="s">
        <v>50</v>
      </c>
      <c r="E802" s="2" t="s">
        <v>47</v>
      </c>
      <c r="F802" s="2" t="s">
        <v>52</v>
      </c>
      <c r="G802" s="2" t="s">
        <v>211</v>
      </c>
      <c r="H802">
        <v>2</v>
      </c>
      <c r="I802">
        <v>6</v>
      </c>
      <c r="J802">
        <v>11183.84</v>
      </c>
      <c r="K802">
        <v>2.5000000000000001E-2</v>
      </c>
      <c r="L802">
        <v>124</v>
      </c>
      <c r="M802">
        <v>45178.720000000001</v>
      </c>
      <c r="N802">
        <v>45134.383999999998</v>
      </c>
      <c r="O802">
        <v>744</v>
      </c>
      <c r="P802">
        <v>44390.383999999998</v>
      </c>
    </row>
    <row r="803" spans="1:16" x14ac:dyDescent="0.3">
      <c r="A803" s="1">
        <v>45809</v>
      </c>
      <c r="B803" s="2" t="s">
        <v>56</v>
      </c>
      <c r="C803" s="2" t="s">
        <v>72</v>
      </c>
      <c r="D803" s="2" t="s">
        <v>50</v>
      </c>
      <c r="E803" s="2" t="s">
        <v>42</v>
      </c>
      <c r="F803" s="2" t="s">
        <v>43</v>
      </c>
      <c r="G803" s="2" t="s">
        <v>73</v>
      </c>
      <c r="H803">
        <v>1</v>
      </c>
      <c r="I803">
        <v>1</v>
      </c>
      <c r="J803">
        <v>176.56</v>
      </c>
      <c r="K803">
        <v>0.05</v>
      </c>
      <c r="L803">
        <v>86</v>
      </c>
      <c r="M803">
        <v>176.56</v>
      </c>
      <c r="N803">
        <v>167.732</v>
      </c>
      <c r="O803">
        <v>86</v>
      </c>
      <c r="P803">
        <v>81.731999999999999</v>
      </c>
    </row>
    <row r="804" spans="1:16" x14ac:dyDescent="0.3">
      <c r="A804" s="1">
        <v>45809</v>
      </c>
      <c r="B804" s="2" t="s">
        <v>56</v>
      </c>
      <c r="C804" s="2" t="s">
        <v>72</v>
      </c>
      <c r="D804" s="2" t="s">
        <v>50</v>
      </c>
      <c r="E804" s="2" t="s">
        <v>42</v>
      </c>
      <c r="F804" s="2" t="s">
        <v>48</v>
      </c>
      <c r="G804" s="2" t="s">
        <v>73</v>
      </c>
      <c r="H804">
        <v>1</v>
      </c>
      <c r="I804">
        <v>3</v>
      </c>
      <c r="J804">
        <v>132.62</v>
      </c>
      <c r="K804">
        <v>0.05</v>
      </c>
      <c r="L804">
        <v>63</v>
      </c>
      <c r="M804">
        <v>397.86</v>
      </c>
      <c r="N804">
        <v>377.96699999999998</v>
      </c>
      <c r="O804">
        <v>189</v>
      </c>
      <c r="P804">
        <v>188.96699999999998</v>
      </c>
    </row>
    <row r="805" spans="1:16" x14ac:dyDescent="0.3">
      <c r="A805" s="1">
        <v>45809</v>
      </c>
      <c r="B805" s="2" t="s">
        <v>56</v>
      </c>
      <c r="C805" s="2" t="s">
        <v>72</v>
      </c>
      <c r="D805" s="2" t="s">
        <v>50</v>
      </c>
      <c r="E805" s="2" t="s">
        <v>42</v>
      </c>
      <c r="F805" s="2" t="s">
        <v>52</v>
      </c>
      <c r="G805" s="2" t="s">
        <v>73</v>
      </c>
      <c r="H805">
        <v>1</v>
      </c>
      <c r="I805">
        <v>1</v>
      </c>
      <c r="J805">
        <v>217.84</v>
      </c>
      <c r="K805">
        <v>0.05</v>
      </c>
      <c r="L805">
        <v>124</v>
      </c>
      <c r="M805">
        <v>217.84</v>
      </c>
      <c r="N805">
        <v>206.94800000000001</v>
      </c>
      <c r="O805">
        <v>124</v>
      </c>
      <c r="P805">
        <v>82.948000000000008</v>
      </c>
    </row>
    <row r="806" spans="1:16" x14ac:dyDescent="0.3">
      <c r="A806" s="1">
        <v>45809</v>
      </c>
      <c r="B806" s="2" t="s">
        <v>56</v>
      </c>
      <c r="C806" s="2" t="s">
        <v>62</v>
      </c>
      <c r="D806" s="2" t="s">
        <v>46</v>
      </c>
      <c r="E806" s="2" t="s">
        <v>51</v>
      </c>
      <c r="F806" s="2" t="s">
        <v>52</v>
      </c>
      <c r="G806" s="2" t="s">
        <v>74</v>
      </c>
      <c r="H806">
        <v>1</v>
      </c>
      <c r="I806">
        <v>13</v>
      </c>
      <c r="J806">
        <v>39.83</v>
      </c>
      <c r="K806">
        <v>0.08</v>
      </c>
      <c r="L806">
        <v>18</v>
      </c>
      <c r="M806">
        <v>517.79</v>
      </c>
      <c r="N806">
        <v>476.36680000000001</v>
      </c>
      <c r="O806">
        <v>234</v>
      </c>
      <c r="P806">
        <v>242.36680000000001</v>
      </c>
    </row>
    <row r="807" spans="1:16" x14ac:dyDescent="0.3">
      <c r="A807" s="1">
        <v>45809</v>
      </c>
      <c r="B807" s="2" t="s">
        <v>65</v>
      </c>
      <c r="C807" s="2" t="s">
        <v>66</v>
      </c>
      <c r="D807" s="2" t="s">
        <v>50</v>
      </c>
      <c r="E807" s="2" t="s">
        <v>47</v>
      </c>
      <c r="F807" s="2" t="s">
        <v>48</v>
      </c>
      <c r="G807" s="2" t="s">
        <v>174</v>
      </c>
      <c r="H807">
        <v>1</v>
      </c>
      <c r="I807">
        <v>2</v>
      </c>
      <c r="J807">
        <v>23.97</v>
      </c>
      <c r="K807">
        <v>0.08</v>
      </c>
      <c r="L807">
        <v>8</v>
      </c>
      <c r="M807">
        <v>47.94</v>
      </c>
      <c r="N807">
        <v>44.104799999999997</v>
      </c>
      <c r="O807">
        <v>16</v>
      </c>
      <c r="P807">
        <v>28.104799999999997</v>
      </c>
    </row>
    <row r="808" spans="1:16" x14ac:dyDescent="0.3">
      <c r="A808" s="1">
        <v>45809</v>
      </c>
      <c r="B808" s="2" t="s">
        <v>39</v>
      </c>
      <c r="C808" s="2" t="s">
        <v>88</v>
      </c>
      <c r="D808" s="2" t="s">
        <v>46</v>
      </c>
      <c r="E808" s="2" t="s">
        <v>51</v>
      </c>
      <c r="F808" s="2" t="s">
        <v>43</v>
      </c>
      <c r="G808" s="2" t="s">
        <v>105</v>
      </c>
      <c r="H808">
        <v>1</v>
      </c>
      <c r="I808">
        <v>11</v>
      </c>
      <c r="J808">
        <v>265</v>
      </c>
      <c r="K808">
        <v>0.1</v>
      </c>
      <c r="L808">
        <v>182</v>
      </c>
      <c r="M808">
        <v>2915</v>
      </c>
      <c r="N808">
        <v>2623.5</v>
      </c>
      <c r="O808">
        <v>2002</v>
      </c>
      <c r="P808">
        <v>621.5</v>
      </c>
    </row>
    <row r="809" spans="1:16" x14ac:dyDescent="0.3">
      <c r="A809" s="1">
        <v>45809</v>
      </c>
      <c r="B809" s="2" t="s">
        <v>56</v>
      </c>
      <c r="C809" s="2" t="s">
        <v>72</v>
      </c>
      <c r="D809" s="2" t="s">
        <v>46</v>
      </c>
      <c r="E809" s="2" t="s">
        <v>51</v>
      </c>
      <c r="F809" s="2" t="s">
        <v>48</v>
      </c>
      <c r="G809" s="2" t="s">
        <v>199</v>
      </c>
      <c r="H809">
        <v>1</v>
      </c>
      <c r="I809">
        <v>6</v>
      </c>
      <c r="J809">
        <v>64.180000000000007</v>
      </c>
      <c r="K809">
        <v>0.1</v>
      </c>
      <c r="L809">
        <v>31</v>
      </c>
      <c r="M809">
        <v>385.08000000000004</v>
      </c>
      <c r="N809">
        <v>346.57200000000006</v>
      </c>
      <c r="O809">
        <v>186</v>
      </c>
      <c r="P809">
        <v>160.57200000000006</v>
      </c>
    </row>
    <row r="810" spans="1:16" x14ac:dyDescent="0.3">
      <c r="A810" s="1">
        <v>45809</v>
      </c>
      <c r="B810" s="2" t="s">
        <v>83</v>
      </c>
      <c r="C810" s="2" t="s">
        <v>84</v>
      </c>
      <c r="D810" s="2" t="s">
        <v>41</v>
      </c>
      <c r="E810" s="2" t="s">
        <v>42</v>
      </c>
      <c r="F810" s="2" t="s">
        <v>52</v>
      </c>
      <c r="G810" s="2" t="s">
        <v>160</v>
      </c>
      <c r="H810">
        <v>3</v>
      </c>
      <c r="I810">
        <v>7</v>
      </c>
      <c r="J810">
        <v>100.84333333333332</v>
      </c>
      <c r="K810">
        <v>0</v>
      </c>
      <c r="L810">
        <v>53.333333333333329</v>
      </c>
      <c r="M810">
        <v>470.84999999999997</v>
      </c>
      <c r="N810">
        <v>470.84999999999997</v>
      </c>
      <c r="O810">
        <v>232</v>
      </c>
      <c r="P810">
        <v>238.85</v>
      </c>
    </row>
    <row r="811" spans="1:16" x14ac:dyDescent="0.3">
      <c r="A811" s="1">
        <v>45809</v>
      </c>
      <c r="B811" s="2" t="s">
        <v>39</v>
      </c>
      <c r="C811" s="2" t="s">
        <v>54</v>
      </c>
      <c r="D811" s="2" t="s">
        <v>41</v>
      </c>
      <c r="E811" s="2" t="s">
        <v>42</v>
      </c>
      <c r="F811" s="2" t="s">
        <v>43</v>
      </c>
      <c r="G811" s="2" t="s">
        <v>131</v>
      </c>
      <c r="H811">
        <v>1</v>
      </c>
      <c r="I811">
        <v>1</v>
      </c>
      <c r="J811">
        <v>285.77999999999997</v>
      </c>
      <c r="K811">
        <v>0</v>
      </c>
      <c r="L811">
        <v>182</v>
      </c>
      <c r="M811">
        <v>285.77999999999997</v>
      </c>
      <c r="N811">
        <v>285.77999999999997</v>
      </c>
      <c r="O811">
        <v>182</v>
      </c>
      <c r="P811">
        <v>103.77999999999997</v>
      </c>
    </row>
    <row r="812" spans="1:16" x14ac:dyDescent="0.3">
      <c r="A812" s="1">
        <v>45809</v>
      </c>
      <c r="B812" s="2" t="s">
        <v>39</v>
      </c>
      <c r="C812" s="2" t="s">
        <v>45</v>
      </c>
      <c r="D812" s="2" t="s">
        <v>41</v>
      </c>
      <c r="E812" s="2" t="s">
        <v>51</v>
      </c>
      <c r="F812" s="2" t="s">
        <v>43</v>
      </c>
      <c r="G812" s="2" t="s">
        <v>201</v>
      </c>
      <c r="H812">
        <v>2</v>
      </c>
      <c r="I812">
        <v>20</v>
      </c>
      <c r="J812">
        <v>179.33500000000001</v>
      </c>
      <c r="K812">
        <v>0</v>
      </c>
      <c r="L812">
        <v>118</v>
      </c>
      <c r="M812">
        <v>3757.63</v>
      </c>
      <c r="N812">
        <v>3757.63</v>
      </c>
      <c r="O812">
        <v>2488</v>
      </c>
      <c r="P812">
        <v>1269.6300000000001</v>
      </c>
    </row>
    <row r="813" spans="1:16" x14ac:dyDescent="0.3">
      <c r="A813" s="1">
        <v>45809</v>
      </c>
      <c r="B813" s="2" t="s">
        <v>39</v>
      </c>
      <c r="C813" s="2" t="s">
        <v>78</v>
      </c>
      <c r="D813" s="2" t="s">
        <v>41</v>
      </c>
      <c r="E813" s="2" t="s">
        <v>42</v>
      </c>
      <c r="F813" s="2" t="s">
        <v>43</v>
      </c>
      <c r="G813" s="2" t="s">
        <v>58</v>
      </c>
      <c r="H813">
        <v>1</v>
      </c>
      <c r="I813">
        <v>1</v>
      </c>
      <c r="J813">
        <v>612.64</v>
      </c>
      <c r="K813">
        <v>0</v>
      </c>
      <c r="L813">
        <v>395</v>
      </c>
      <c r="M813">
        <v>612.64</v>
      </c>
      <c r="N813">
        <v>612.64</v>
      </c>
      <c r="O813">
        <v>395</v>
      </c>
      <c r="P813">
        <v>217.64</v>
      </c>
    </row>
    <row r="814" spans="1:16" x14ac:dyDescent="0.3">
      <c r="A814" s="1">
        <v>45809</v>
      </c>
      <c r="B814" s="2" t="s">
        <v>56</v>
      </c>
      <c r="C814" s="2" t="s">
        <v>57</v>
      </c>
      <c r="D814" s="2" t="s">
        <v>46</v>
      </c>
      <c r="E814" s="2" t="s">
        <v>42</v>
      </c>
      <c r="F814" s="2" t="s">
        <v>48</v>
      </c>
      <c r="G814" s="2" t="s">
        <v>111</v>
      </c>
      <c r="H814">
        <v>1</v>
      </c>
      <c r="I814">
        <v>3</v>
      </c>
      <c r="J814">
        <v>70.900000000000006</v>
      </c>
      <c r="K814">
        <v>0.05</v>
      </c>
      <c r="L814">
        <v>31</v>
      </c>
      <c r="M814">
        <v>212.70000000000002</v>
      </c>
      <c r="N814">
        <v>202.065</v>
      </c>
      <c r="O814">
        <v>93</v>
      </c>
      <c r="P814">
        <v>109.065</v>
      </c>
    </row>
    <row r="815" spans="1:16" x14ac:dyDescent="0.3">
      <c r="A815" s="1">
        <v>45809</v>
      </c>
      <c r="B815" s="2" t="s">
        <v>39</v>
      </c>
      <c r="C815" s="2" t="s">
        <v>88</v>
      </c>
      <c r="D815" s="2" t="s">
        <v>46</v>
      </c>
      <c r="E815" s="2" t="s">
        <v>42</v>
      </c>
      <c r="F815" s="2" t="s">
        <v>48</v>
      </c>
      <c r="G815" s="2" t="s">
        <v>105</v>
      </c>
      <c r="H815">
        <v>1</v>
      </c>
      <c r="I815">
        <v>1</v>
      </c>
      <c r="J815">
        <v>139.75</v>
      </c>
      <c r="K815">
        <v>0.1</v>
      </c>
      <c r="L815">
        <v>63</v>
      </c>
      <c r="M815">
        <v>139.75</v>
      </c>
      <c r="N815">
        <v>125.77500000000001</v>
      </c>
      <c r="O815">
        <v>63</v>
      </c>
      <c r="P815">
        <v>62.775000000000006</v>
      </c>
    </row>
    <row r="816" spans="1:16" x14ac:dyDescent="0.3">
      <c r="A816" s="1">
        <v>45809</v>
      </c>
      <c r="B816" s="2" t="s">
        <v>65</v>
      </c>
      <c r="C816" s="2" t="s">
        <v>80</v>
      </c>
      <c r="D816" s="2" t="s">
        <v>50</v>
      </c>
      <c r="E816" s="2" t="s">
        <v>42</v>
      </c>
      <c r="F816" s="2" t="s">
        <v>43</v>
      </c>
      <c r="G816" s="2" t="s">
        <v>81</v>
      </c>
      <c r="H816">
        <v>1</v>
      </c>
      <c r="I816">
        <v>1</v>
      </c>
      <c r="J816">
        <v>169.67</v>
      </c>
      <c r="K816">
        <v>0.08</v>
      </c>
      <c r="L816">
        <v>86</v>
      </c>
      <c r="M816">
        <v>169.67</v>
      </c>
      <c r="N816">
        <v>156.09639999999999</v>
      </c>
      <c r="O816">
        <v>86</v>
      </c>
      <c r="P816">
        <v>70.096399999999988</v>
      </c>
    </row>
    <row r="817" spans="1:16" x14ac:dyDescent="0.3">
      <c r="A817" s="1">
        <v>45809</v>
      </c>
      <c r="B817" s="2" t="s">
        <v>39</v>
      </c>
      <c r="C817" s="2" t="s">
        <v>88</v>
      </c>
      <c r="D817" s="2" t="s">
        <v>41</v>
      </c>
      <c r="E817" s="2" t="s">
        <v>51</v>
      </c>
      <c r="F817" s="2" t="s">
        <v>43</v>
      </c>
      <c r="G817" s="2" t="s">
        <v>224</v>
      </c>
      <c r="H817">
        <v>1</v>
      </c>
      <c r="I817">
        <v>3</v>
      </c>
      <c r="J817">
        <v>267.06</v>
      </c>
      <c r="K817">
        <v>0.05</v>
      </c>
      <c r="L817">
        <v>182</v>
      </c>
      <c r="M817">
        <v>801.18000000000006</v>
      </c>
      <c r="N817">
        <v>761.12099999999998</v>
      </c>
      <c r="O817">
        <v>546</v>
      </c>
      <c r="P817">
        <v>215.12099999999998</v>
      </c>
    </row>
    <row r="818" spans="1:16" x14ac:dyDescent="0.3">
      <c r="A818" s="1">
        <v>45809</v>
      </c>
      <c r="B818" s="2" t="s">
        <v>39</v>
      </c>
      <c r="C818" s="2" t="s">
        <v>40</v>
      </c>
      <c r="D818" s="2" t="s">
        <v>46</v>
      </c>
      <c r="E818" s="2" t="s">
        <v>42</v>
      </c>
      <c r="F818" s="2" t="s">
        <v>52</v>
      </c>
      <c r="G818" s="2" t="s">
        <v>229</v>
      </c>
      <c r="H818">
        <v>1</v>
      </c>
      <c r="I818">
        <v>3</v>
      </c>
      <c r="J818">
        <v>207.53</v>
      </c>
      <c r="K818">
        <v>0.12</v>
      </c>
      <c r="L818">
        <v>124</v>
      </c>
      <c r="M818">
        <v>622.59</v>
      </c>
      <c r="N818">
        <v>547.87920000000008</v>
      </c>
      <c r="O818">
        <v>372</v>
      </c>
      <c r="P818">
        <v>175.87920000000008</v>
      </c>
    </row>
    <row r="819" spans="1:16" x14ac:dyDescent="0.3">
      <c r="A819" s="1">
        <v>45809</v>
      </c>
      <c r="B819" s="2" t="s">
        <v>39</v>
      </c>
      <c r="C819" s="2" t="s">
        <v>78</v>
      </c>
      <c r="D819" s="2" t="s">
        <v>41</v>
      </c>
      <c r="E819" s="2" t="s">
        <v>42</v>
      </c>
      <c r="F819" s="2" t="s">
        <v>52</v>
      </c>
      <c r="G819" s="2" t="s">
        <v>217</v>
      </c>
      <c r="H819">
        <v>1</v>
      </c>
      <c r="I819">
        <v>3</v>
      </c>
      <c r="J819">
        <v>206.14</v>
      </c>
      <c r="K819">
        <v>0</v>
      </c>
      <c r="L819">
        <v>124</v>
      </c>
      <c r="M819">
        <v>618.41999999999996</v>
      </c>
      <c r="N819">
        <v>618.41999999999996</v>
      </c>
      <c r="O819">
        <v>372</v>
      </c>
      <c r="P819">
        <v>246.41999999999996</v>
      </c>
    </row>
    <row r="820" spans="1:16" x14ac:dyDescent="0.3">
      <c r="A820" s="1">
        <v>45809</v>
      </c>
      <c r="B820" s="2" t="s">
        <v>39</v>
      </c>
      <c r="C820" s="2" t="s">
        <v>92</v>
      </c>
      <c r="D820" s="2" t="s">
        <v>46</v>
      </c>
      <c r="E820" s="2" t="s">
        <v>47</v>
      </c>
      <c r="F820" s="2" t="s">
        <v>48</v>
      </c>
      <c r="G820" s="2" t="s">
        <v>166</v>
      </c>
      <c r="H820">
        <v>1</v>
      </c>
      <c r="I820">
        <v>20</v>
      </c>
      <c r="J820">
        <v>76.56</v>
      </c>
      <c r="K820">
        <v>0.08</v>
      </c>
      <c r="L820">
        <v>31</v>
      </c>
      <c r="M820">
        <v>1531.2</v>
      </c>
      <c r="N820">
        <v>1408.7040000000002</v>
      </c>
      <c r="O820">
        <v>620</v>
      </c>
      <c r="P820">
        <v>788.70400000000018</v>
      </c>
    </row>
    <row r="821" spans="1:16" x14ac:dyDescent="0.3">
      <c r="A821" s="1">
        <v>45809</v>
      </c>
      <c r="B821" s="2" t="s">
        <v>56</v>
      </c>
      <c r="C821" s="2" t="s">
        <v>62</v>
      </c>
      <c r="D821" s="2" t="s">
        <v>41</v>
      </c>
      <c r="E821" s="2" t="s">
        <v>51</v>
      </c>
      <c r="F821" s="2" t="s">
        <v>52</v>
      </c>
      <c r="G821" s="2" t="s">
        <v>142</v>
      </c>
      <c r="H821">
        <v>1</v>
      </c>
      <c r="I821">
        <v>9</v>
      </c>
      <c r="J821">
        <v>194.88</v>
      </c>
      <c r="K821">
        <v>0.1</v>
      </c>
      <c r="L821">
        <v>124</v>
      </c>
      <c r="M821">
        <v>1753.92</v>
      </c>
      <c r="N821">
        <v>1578.528</v>
      </c>
      <c r="O821">
        <v>1116</v>
      </c>
      <c r="P821">
        <v>462.52800000000002</v>
      </c>
    </row>
    <row r="822" spans="1:16" x14ac:dyDescent="0.3">
      <c r="A822" s="1">
        <v>45839</v>
      </c>
      <c r="B822" s="2" t="s">
        <v>39</v>
      </c>
      <c r="C822" s="2" t="s">
        <v>45</v>
      </c>
      <c r="D822" s="2" t="s">
        <v>46</v>
      </c>
      <c r="E822" s="2" t="s">
        <v>47</v>
      </c>
      <c r="F822" s="2" t="s">
        <v>48</v>
      </c>
      <c r="G822" s="2" t="s">
        <v>188</v>
      </c>
      <c r="H822">
        <v>2</v>
      </c>
      <c r="I822">
        <v>6</v>
      </c>
      <c r="J822">
        <v>96.740000000000009</v>
      </c>
      <c r="K822">
        <v>0.1</v>
      </c>
      <c r="L822">
        <v>39</v>
      </c>
      <c r="M822">
        <v>588.16000000000008</v>
      </c>
      <c r="N822">
        <v>509.41700000000003</v>
      </c>
      <c r="O822">
        <v>234</v>
      </c>
      <c r="P822">
        <v>275.41700000000003</v>
      </c>
    </row>
    <row r="823" spans="1:16" x14ac:dyDescent="0.3">
      <c r="A823" s="1">
        <v>45839</v>
      </c>
      <c r="B823" s="2" t="s">
        <v>56</v>
      </c>
      <c r="C823" s="2" t="s">
        <v>72</v>
      </c>
      <c r="D823" s="2" t="s">
        <v>50</v>
      </c>
      <c r="E823" s="2" t="s">
        <v>42</v>
      </c>
      <c r="F823" s="2" t="s">
        <v>48</v>
      </c>
      <c r="G823" s="2" t="s">
        <v>73</v>
      </c>
      <c r="H823">
        <v>1</v>
      </c>
      <c r="I823">
        <v>2</v>
      </c>
      <c r="J823">
        <v>24.44</v>
      </c>
      <c r="K823">
        <v>0.08</v>
      </c>
      <c r="L823">
        <v>8</v>
      </c>
      <c r="M823">
        <v>48.88</v>
      </c>
      <c r="N823">
        <v>44.969600000000007</v>
      </c>
      <c r="O823">
        <v>16</v>
      </c>
      <c r="P823">
        <v>28.969600000000007</v>
      </c>
    </row>
    <row r="824" spans="1:16" x14ac:dyDescent="0.3">
      <c r="A824" s="1">
        <v>45839</v>
      </c>
      <c r="B824" s="2" t="s">
        <v>39</v>
      </c>
      <c r="C824" s="2" t="s">
        <v>78</v>
      </c>
      <c r="D824" s="2" t="s">
        <v>50</v>
      </c>
      <c r="E824" s="2" t="s">
        <v>42</v>
      </c>
      <c r="F824" s="2" t="s">
        <v>52</v>
      </c>
      <c r="G824" s="2" t="s">
        <v>163</v>
      </c>
      <c r="H824">
        <v>1</v>
      </c>
      <c r="I824">
        <v>3</v>
      </c>
      <c r="J824">
        <v>206.94</v>
      </c>
      <c r="K824">
        <v>0</v>
      </c>
      <c r="L824">
        <v>124</v>
      </c>
      <c r="M824">
        <v>620.81999999999994</v>
      </c>
      <c r="N824">
        <v>620.81999999999994</v>
      </c>
      <c r="O824">
        <v>372</v>
      </c>
      <c r="P824">
        <v>248.81999999999994</v>
      </c>
    </row>
    <row r="825" spans="1:16" x14ac:dyDescent="0.3">
      <c r="A825" s="1">
        <v>45839</v>
      </c>
      <c r="B825" s="2" t="s">
        <v>39</v>
      </c>
      <c r="C825" s="2" t="s">
        <v>78</v>
      </c>
      <c r="D825" s="2" t="s">
        <v>50</v>
      </c>
      <c r="E825" s="2" t="s">
        <v>42</v>
      </c>
      <c r="F825" s="2" t="s">
        <v>43</v>
      </c>
      <c r="G825" s="2" t="s">
        <v>163</v>
      </c>
      <c r="H825">
        <v>2</v>
      </c>
      <c r="I825">
        <v>4</v>
      </c>
      <c r="J825">
        <v>370.59999999999997</v>
      </c>
      <c r="K825">
        <v>0.1</v>
      </c>
      <c r="L825">
        <v>224.5</v>
      </c>
      <c r="M825">
        <v>956.24</v>
      </c>
      <c r="N825">
        <v>866.83839999999998</v>
      </c>
      <c r="O825">
        <v>557</v>
      </c>
      <c r="P825">
        <v>309.83839999999998</v>
      </c>
    </row>
    <row r="826" spans="1:16" x14ac:dyDescent="0.3">
      <c r="A826" s="1">
        <v>45839</v>
      </c>
      <c r="B826" s="2" t="s">
        <v>39</v>
      </c>
      <c r="C826" s="2" t="s">
        <v>92</v>
      </c>
      <c r="D826" s="2" t="s">
        <v>50</v>
      </c>
      <c r="E826" s="2" t="s">
        <v>47</v>
      </c>
      <c r="F826" s="2" t="s">
        <v>48</v>
      </c>
      <c r="G826" s="2" t="s">
        <v>160</v>
      </c>
      <c r="H826">
        <v>1</v>
      </c>
      <c r="I826">
        <v>2</v>
      </c>
      <c r="J826">
        <v>96.73</v>
      </c>
      <c r="K826">
        <v>0</v>
      </c>
      <c r="L826">
        <v>39</v>
      </c>
      <c r="M826">
        <v>193.46</v>
      </c>
      <c r="N826">
        <v>193.46</v>
      </c>
      <c r="O826">
        <v>78</v>
      </c>
      <c r="P826">
        <v>115.46000000000001</v>
      </c>
    </row>
    <row r="827" spans="1:16" x14ac:dyDescent="0.3">
      <c r="A827" s="1">
        <v>45839</v>
      </c>
      <c r="B827" s="2" t="s">
        <v>39</v>
      </c>
      <c r="C827" s="2" t="s">
        <v>78</v>
      </c>
      <c r="D827" s="2" t="s">
        <v>41</v>
      </c>
      <c r="E827" s="2" t="s">
        <v>47</v>
      </c>
      <c r="F827" s="2" t="s">
        <v>43</v>
      </c>
      <c r="G827" s="2" t="s">
        <v>182</v>
      </c>
      <c r="H827">
        <v>2</v>
      </c>
      <c r="I827">
        <v>5</v>
      </c>
      <c r="J827">
        <v>643.22500000000002</v>
      </c>
      <c r="K827">
        <v>0</v>
      </c>
      <c r="L827">
        <v>395</v>
      </c>
      <c r="M827">
        <v>3204.1400000000003</v>
      </c>
      <c r="N827">
        <v>3204.1400000000003</v>
      </c>
      <c r="O827">
        <v>1975</v>
      </c>
      <c r="P827">
        <v>1229.1400000000001</v>
      </c>
    </row>
    <row r="828" spans="1:16" x14ac:dyDescent="0.3">
      <c r="A828" s="1">
        <v>45839</v>
      </c>
      <c r="B828" s="2" t="s">
        <v>39</v>
      </c>
      <c r="C828" s="2" t="s">
        <v>78</v>
      </c>
      <c r="D828" s="2" t="s">
        <v>41</v>
      </c>
      <c r="E828" s="2" t="s">
        <v>47</v>
      </c>
      <c r="F828" s="2" t="s">
        <v>48</v>
      </c>
      <c r="G828" s="2" t="s">
        <v>182</v>
      </c>
      <c r="H828">
        <v>1</v>
      </c>
      <c r="I828">
        <v>4</v>
      </c>
      <c r="J828">
        <v>75.16</v>
      </c>
      <c r="K828">
        <v>0.05</v>
      </c>
      <c r="L828">
        <v>31</v>
      </c>
      <c r="M828">
        <v>300.64</v>
      </c>
      <c r="N828">
        <v>285.60799999999995</v>
      </c>
      <c r="O828">
        <v>124</v>
      </c>
      <c r="P828">
        <v>161.60799999999995</v>
      </c>
    </row>
    <row r="829" spans="1:16" x14ac:dyDescent="0.3">
      <c r="A829" s="1">
        <v>45839</v>
      </c>
      <c r="B829" s="2" t="s">
        <v>83</v>
      </c>
      <c r="C829" s="2" t="s">
        <v>164</v>
      </c>
      <c r="D829" s="2" t="s">
        <v>50</v>
      </c>
      <c r="E829" s="2" t="s">
        <v>42</v>
      </c>
      <c r="F829" s="2" t="s">
        <v>43</v>
      </c>
      <c r="G829" s="2" t="s">
        <v>211</v>
      </c>
      <c r="H829">
        <v>1</v>
      </c>
      <c r="I829">
        <v>2</v>
      </c>
      <c r="J829">
        <v>816.88</v>
      </c>
      <c r="K829">
        <v>0.08</v>
      </c>
      <c r="L829">
        <v>520</v>
      </c>
      <c r="M829">
        <v>1633.76</v>
      </c>
      <c r="N829">
        <v>1503.0592000000001</v>
      </c>
      <c r="O829">
        <v>1040</v>
      </c>
      <c r="P829">
        <v>463.05920000000015</v>
      </c>
    </row>
    <row r="830" spans="1:16" x14ac:dyDescent="0.3">
      <c r="A830" s="1">
        <v>45839</v>
      </c>
      <c r="B830" s="2" t="s">
        <v>39</v>
      </c>
      <c r="C830" s="2" t="s">
        <v>92</v>
      </c>
      <c r="D830" s="2" t="s">
        <v>46</v>
      </c>
      <c r="E830" s="2" t="s">
        <v>42</v>
      </c>
      <c r="F830" s="2" t="s">
        <v>43</v>
      </c>
      <c r="G830" s="2" t="s">
        <v>169</v>
      </c>
      <c r="H830">
        <v>1</v>
      </c>
      <c r="I830">
        <v>1</v>
      </c>
      <c r="J830">
        <v>639.52</v>
      </c>
      <c r="K830">
        <v>0.08</v>
      </c>
      <c r="L830">
        <v>395</v>
      </c>
      <c r="M830">
        <v>639.52</v>
      </c>
      <c r="N830">
        <v>588.35839999999996</v>
      </c>
      <c r="O830">
        <v>395</v>
      </c>
      <c r="P830">
        <v>193.35839999999996</v>
      </c>
    </row>
    <row r="831" spans="1:16" x14ac:dyDescent="0.3">
      <c r="A831" s="1">
        <v>45839</v>
      </c>
      <c r="B831" s="2" t="s">
        <v>39</v>
      </c>
      <c r="C831" s="2" t="s">
        <v>45</v>
      </c>
      <c r="D831" s="2" t="s">
        <v>50</v>
      </c>
      <c r="E831" s="2" t="s">
        <v>47</v>
      </c>
      <c r="F831" s="2" t="s">
        <v>43</v>
      </c>
      <c r="G831" s="2" t="s">
        <v>53</v>
      </c>
      <c r="H831">
        <v>1</v>
      </c>
      <c r="I831">
        <v>4</v>
      </c>
      <c r="J831">
        <v>1215.45</v>
      </c>
      <c r="K831">
        <v>0.12</v>
      </c>
      <c r="L831">
        <v>760</v>
      </c>
      <c r="M831">
        <v>4861.8</v>
      </c>
      <c r="N831">
        <v>4278.384</v>
      </c>
      <c r="O831">
        <v>3040</v>
      </c>
      <c r="P831">
        <v>1238.384</v>
      </c>
    </row>
    <row r="832" spans="1:16" x14ac:dyDescent="0.3">
      <c r="A832" s="1">
        <v>45839</v>
      </c>
      <c r="B832" s="2" t="s">
        <v>39</v>
      </c>
      <c r="C832" s="2" t="s">
        <v>78</v>
      </c>
      <c r="D832" s="2" t="s">
        <v>50</v>
      </c>
      <c r="E832" s="2" t="s">
        <v>47</v>
      </c>
      <c r="F832" s="2" t="s">
        <v>48</v>
      </c>
      <c r="G832" s="2" t="s">
        <v>190</v>
      </c>
      <c r="H832">
        <v>1</v>
      </c>
      <c r="I832">
        <v>4</v>
      </c>
      <c r="J832">
        <v>142.21</v>
      </c>
      <c r="K832">
        <v>0.08</v>
      </c>
      <c r="L832">
        <v>63</v>
      </c>
      <c r="M832">
        <v>568.84</v>
      </c>
      <c r="N832">
        <v>523.33280000000002</v>
      </c>
      <c r="O832">
        <v>252</v>
      </c>
      <c r="P832">
        <v>271.33280000000002</v>
      </c>
    </row>
    <row r="833" spans="1:16" x14ac:dyDescent="0.3">
      <c r="A833" s="1">
        <v>45839</v>
      </c>
      <c r="B833" s="2" t="s">
        <v>83</v>
      </c>
      <c r="C833" s="2" t="s">
        <v>164</v>
      </c>
      <c r="D833" s="2" t="s">
        <v>50</v>
      </c>
      <c r="E833" s="2" t="s">
        <v>96</v>
      </c>
      <c r="F833" s="2" t="s">
        <v>48</v>
      </c>
      <c r="G833" s="2" t="s">
        <v>53</v>
      </c>
      <c r="H833">
        <v>1</v>
      </c>
      <c r="I833">
        <v>4</v>
      </c>
      <c r="J833">
        <v>90.9</v>
      </c>
      <c r="K833">
        <v>0.05</v>
      </c>
      <c r="L833">
        <v>39</v>
      </c>
      <c r="M833">
        <v>363.6</v>
      </c>
      <c r="N833">
        <v>345.42</v>
      </c>
      <c r="O833">
        <v>156</v>
      </c>
      <c r="P833">
        <v>189.42000000000002</v>
      </c>
    </row>
    <row r="834" spans="1:16" x14ac:dyDescent="0.3">
      <c r="A834" s="1">
        <v>45839</v>
      </c>
      <c r="B834" s="2" t="s">
        <v>83</v>
      </c>
      <c r="C834" s="2" t="s">
        <v>164</v>
      </c>
      <c r="D834" s="2" t="s">
        <v>50</v>
      </c>
      <c r="E834" s="2" t="s">
        <v>96</v>
      </c>
      <c r="F834" s="2" t="s">
        <v>52</v>
      </c>
      <c r="G834" s="2" t="s">
        <v>53</v>
      </c>
      <c r="H834">
        <v>1</v>
      </c>
      <c r="I834">
        <v>1</v>
      </c>
      <c r="J834">
        <v>44.28</v>
      </c>
      <c r="K834">
        <v>0.08</v>
      </c>
      <c r="L834">
        <v>18</v>
      </c>
      <c r="M834">
        <v>44.28</v>
      </c>
      <c r="N834">
        <v>40.7376</v>
      </c>
      <c r="O834">
        <v>18</v>
      </c>
      <c r="P834">
        <v>22.7376</v>
      </c>
    </row>
    <row r="835" spans="1:16" x14ac:dyDescent="0.3">
      <c r="A835" s="1">
        <v>45839</v>
      </c>
      <c r="B835" s="2" t="s">
        <v>56</v>
      </c>
      <c r="C835" s="2" t="s">
        <v>57</v>
      </c>
      <c r="D835" s="2" t="s">
        <v>50</v>
      </c>
      <c r="E835" s="2" t="s">
        <v>51</v>
      </c>
      <c r="F835" s="2" t="s">
        <v>48</v>
      </c>
      <c r="G835" s="2" t="s">
        <v>100</v>
      </c>
      <c r="H835">
        <v>2</v>
      </c>
      <c r="I835">
        <v>19</v>
      </c>
      <c r="J835">
        <v>66.38</v>
      </c>
      <c r="K835">
        <v>8.4999999999999992E-2</v>
      </c>
      <c r="L835">
        <v>31</v>
      </c>
      <c r="M835">
        <v>1262.69</v>
      </c>
      <c r="N835">
        <v>1138.9585999999999</v>
      </c>
      <c r="O835">
        <v>589</v>
      </c>
      <c r="P835">
        <v>549.95860000000005</v>
      </c>
    </row>
    <row r="836" spans="1:16" x14ac:dyDescent="0.3">
      <c r="A836" s="1">
        <v>45839</v>
      </c>
      <c r="B836" s="2" t="s">
        <v>39</v>
      </c>
      <c r="C836" s="2" t="s">
        <v>40</v>
      </c>
      <c r="D836" s="2" t="s">
        <v>46</v>
      </c>
      <c r="E836" s="2" t="s">
        <v>42</v>
      </c>
      <c r="F836" s="2" t="s">
        <v>52</v>
      </c>
      <c r="G836" s="2" t="s">
        <v>82</v>
      </c>
      <c r="H836">
        <v>1</v>
      </c>
      <c r="I836">
        <v>1</v>
      </c>
      <c r="J836">
        <v>41.82</v>
      </c>
      <c r="K836">
        <v>0.08</v>
      </c>
      <c r="L836">
        <v>18</v>
      </c>
      <c r="M836">
        <v>41.82</v>
      </c>
      <c r="N836">
        <v>38.474400000000003</v>
      </c>
      <c r="O836">
        <v>18</v>
      </c>
      <c r="P836">
        <v>20.474400000000003</v>
      </c>
    </row>
    <row r="837" spans="1:16" x14ac:dyDescent="0.3">
      <c r="A837" s="1">
        <v>45839</v>
      </c>
      <c r="B837" s="2" t="s">
        <v>39</v>
      </c>
      <c r="C837" s="2" t="s">
        <v>40</v>
      </c>
      <c r="D837" s="2" t="s">
        <v>46</v>
      </c>
      <c r="E837" s="2" t="s">
        <v>42</v>
      </c>
      <c r="F837" s="2" t="s">
        <v>43</v>
      </c>
      <c r="G837" s="2" t="s">
        <v>82</v>
      </c>
      <c r="H837">
        <v>1</v>
      </c>
      <c r="I837">
        <v>2</v>
      </c>
      <c r="J837">
        <v>110.35</v>
      </c>
      <c r="K837">
        <v>0.05</v>
      </c>
      <c r="L837">
        <v>54</v>
      </c>
      <c r="M837">
        <v>220.7</v>
      </c>
      <c r="N837">
        <v>209.66499999999999</v>
      </c>
      <c r="O837">
        <v>108</v>
      </c>
      <c r="P837">
        <v>101.66499999999999</v>
      </c>
    </row>
    <row r="838" spans="1:16" x14ac:dyDescent="0.3">
      <c r="A838" s="1">
        <v>45839</v>
      </c>
      <c r="B838" s="2" t="s">
        <v>39</v>
      </c>
      <c r="C838" s="2" t="s">
        <v>40</v>
      </c>
      <c r="D838" s="2" t="s">
        <v>46</v>
      </c>
      <c r="E838" s="2" t="s">
        <v>42</v>
      </c>
      <c r="F838" s="2" t="s">
        <v>48</v>
      </c>
      <c r="G838" s="2" t="s">
        <v>82</v>
      </c>
      <c r="H838">
        <v>1</v>
      </c>
      <c r="I838">
        <v>3</v>
      </c>
      <c r="J838">
        <v>94.77</v>
      </c>
      <c r="K838">
        <v>0.1</v>
      </c>
      <c r="L838">
        <v>39</v>
      </c>
      <c r="M838">
        <v>284.31</v>
      </c>
      <c r="N838">
        <v>255.87900000000002</v>
      </c>
      <c r="O838">
        <v>117</v>
      </c>
      <c r="P838">
        <v>138.87900000000002</v>
      </c>
    </row>
    <row r="839" spans="1:16" x14ac:dyDescent="0.3">
      <c r="A839" s="1">
        <v>45839</v>
      </c>
      <c r="B839" s="2" t="s">
        <v>39</v>
      </c>
      <c r="C839" s="2" t="s">
        <v>45</v>
      </c>
      <c r="D839" s="2" t="s">
        <v>41</v>
      </c>
      <c r="E839" s="2" t="s">
        <v>42</v>
      </c>
      <c r="F839" s="2" t="s">
        <v>48</v>
      </c>
      <c r="G839" s="2" t="s">
        <v>132</v>
      </c>
      <c r="H839">
        <v>1</v>
      </c>
      <c r="I839">
        <v>2</v>
      </c>
      <c r="J839">
        <v>23.45</v>
      </c>
      <c r="K839">
        <v>0</v>
      </c>
      <c r="L839">
        <v>8</v>
      </c>
      <c r="M839">
        <v>46.9</v>
      </c>
      <c r="N839">
        <v>46.9</v>
      </c>
      <c r="O839">
        <v>16</v>
      </c>
      <c r="P839">
        <v>30.9</v>
      </c>
    </row>
    <row r="840" spans="1:16" x14ac:dyDescent="0.3">
      <c r="A840" s="1">
        <v>45839</v>
      </c>
      <c r="B840" s="2" t="s">
        <v>83</v>
      </c>
      <c r="C840" s="2" t="s">
        <v>164</v>
      </c>
      <c r="D840" s="2" t="s">
        <v>50</v>
      </c>
      <c r="E840" s="2" t="s">
        <v>47</v>
      </c>
      <c r="F840" s="2" t="s">
        <v>52</v>
      </c>
      <c r="G840" s="2" t="s">
        <v>165</v>
      </c>
      <c r="H840">
        <v>1</v>
      </c>
      <c r="I840">
        <v>3</v>
      </c>
      <c r="J840">
        <v>212.63</v>
      </c>
      <c r="K840">
        <v>0.12</v>
      </c>
      <c r="L840">
        <v>124</v>
      </c>
      <c r="M840">
        <v>637.89</v>
      </c>
      <c r="N840">
        <v>561.34320000000002</v>
      </c>
      <c r="O840">
        <v>372</v>
      </c>
      <c r="P840">
        <v>189.34320000000002</v>
      </c>
    </row>
    <row r="841" spans="1:16" x14ac:dyDescent="0.3">
      <c r="A841" s="1">
        <v>45839</v>
      </c>
      <c r="B841" s="2" t="s">
        <v>83</v>
      </c>
      <c r="C841" s="2" t="s">
        <v>164</v>
      </c>
      <c r="D841" s="2" t="s">
        <v>50</v>
      </c>
      <c r="E841" s="2" t="s">
        <v>47</v>
      </c>
      <c r="F841" s="2" t="s">
        <v>43</v>
      </c>
      <c r="G841" s="2" t="s">
        <v>165</v>
      </c>
      <c r="H841">
        <v>1</v>
      </c>
      <c r="I841">
        <v>1</v>
      </c>
      <c r="J841">
        <v>841.27</v>
      </c>
      <c r="K841">
        <v>0.05</v>
      </c>
      <c r="L841">
        <v>520</v>
      </c>
      <c r="M841">
        <v>841.27</v>
      </c>
      <c r="N841">
        <v>799.20649999999989</v>
      </c>
      <c r="O841">
        <v>520</v>
      </c>
      <c r="P841">
        <v>279.20649999999989</v>
      </c>
    </row>
    <row r="842" spans="1:16" x14ac:dyDescent="0.3">
      <c r="A842" s="1">
        <v>45839</v>
      </c>
      <c r="B842" s="2" t="s">
        <v>56</v>
      </c>
      <c r="C842" s="2" t="s">
        <v>57</v>
      </c>
      <c r="D842" s="2" t="s">
        <v>50</v>
      </c>
      <c r="E842" s="2" t="s">
        <v>42</v>
      </c>
      <c r="F842" s="2" t="s">
        <v>48</v>
      </c>
      <c r="G842" s="2" t="s">
        <v>160</v>
      </c>
      <c r="H842">
        <v>1</v>
      </c>
      <c r="I842">
        <v>3</v>
      </c>
      <c r="J842">
        <v>75.08</v>
      </c>
      <c r="K842">
        <v>0.05</v>
      </c>
      <c r="L842">
        <v>31</v>
      </c>
      <c r="M842">
        <v>225.24</v>
      </c>
      <c r="N842">
        <v>213.97800000000001</v>
      </c>
      <c r="O842">
        <v>93</v>
      </c>
      <c r="P842">
        <v>120.97800000000001</v>
      </c>
    </row>
    <row r="843" spans="1:16" x14ac:dyDescent="0.3">
      <c r="A843" s="1">
        <v>45839</v>
      </c>
      <c r="B843" s="2" t="s">
        <v>56</v>
      </c>
      <c r="C843" s="2" t="s">
        <v>57</v>
      </c>
      <c r="D843" s="2" t="s">
        <v>50</v>
      </c>
      <c r="E843" s="2" t="s">
        <v>42</v>
      </c>
      <c r="F843" s="2" t="s">
        <v>43</v>
      </c>
      <c r="G843" s="2" t="s">
        <v>160</v>
      </c>
      <c r="H843">
        <v>2</v>
      </c>
      <c r="I843">
        <v>6</v>
      </c>
      <c r="J843">
        <v>168.66</v>
      </c>
      <c r="K843">
        <v>0.1</v>
      </c>
      <c r="L843">
        <v>86</v>
      </c>
      <c r="M843">
        <v>1011.96</v>
      </c>
      <c r="N843">
        <v>910.76400000000001</v>
      </c>
      <c r="O843">
        <v>516</v>
      </c>
      <c r="P843">
        <v>394.76400000000001</v>
      </c>
    </row>
    <row r="844" spans="1:16" x14ac:dyDescent="0.3">
      <c r="A844" s="1">
        <v>45839</v>
      </c>
      <c r="B844" s="2" t="s">
        <v>39</v>
      </c>
      <c r="C844" s="2" t="s">
        <v>40</v>
      </c>
      <c r="D844" s="2" t="s">
        <v>46</v>
      </c>
      <c r="E844" s="2" t="s">
        <v>47</v>
      </c>
      <c r="F844" s="2" t="s">
        <v>43</v>
      </c>
      <c r="G844" s="2" t="s">
        <v>141</v>
      </c>
      <c r="H844">
        <v>2</v>
      </c>
      <c r="I844">
        <v>6</v>
      </c>
      <c r="J844">
        <v>238.45999999999998</v>
      </c>
      <c r="K844">
        <v>0.125</v>
      </c>
      <c r="L844">
        <v>134</v>
      </c>
      <c r="M844">
        <v>1430.7599999999998</v>
      </c>
      <c r="N844">
        <v>1260.8774999999998</v>
      </c>
      <c r="O844">
        <v>804</v>
      </c>
      <c r="P844">
        <v>456.87749999999988</v>
      </c>
    </row>
    <row r="845" spans="1:16" x14ac:dyDescent="0.3">
      <c r="A845" s="1">
        <v>45839</v>
      </c>
      <c r="B845" s="2" t="s">
        <v>39</v>
      </c>
      <c r="C845" s="2" t="s">
        <v>92</v>
      </c>
      <c r="D845" s="2" t="s">
        <v>41</v>
      </c>
      <c r="E845" s="2" t="s">
        <v>42</v>
      </c>
      <c r="F845" s="2" t="s">
        <v>52</v>
      </c>
      <c r="G845" s="2" t="s">
        <v>231</v>
      </c>
      <c r="H845">
        <v>1</v>
      </c>
      <c r="I845">
        <v>1</v>
      </c>
      <c r="J845">
        <v>210.86</v>
      </c>
      <c r="K845">
        <v>0</v>
      </c>
      <c r="L845">
        <v>124</v>
      </c>
      <c r="M845">
        <v>210.86</v>
      </c>
      <c r="N845">
        <v>210.86</v>
      </c>
      <c r="O845">
        <v>124</v>
      </c>
      <c r="P845">
        <v>86.860000000000014</v>
      </c>
    </row>
    <row r="846" spans="1:16" x14ac:dyDescent="0.3">
      <c r="A846" s="1">
        <v>45839</v>
      </c>
      <c r="B846" s="2" t="s">
        <v>56</v>
      </c>
      <c r="C846" s="2" t="s">
        <v>62</v>
      </c>
      <c r="D846" s="2" t="s">
        <v>41</v>
      </c>
      <c r="E846" s="2" t="s">
        <v>42</v>
      </c>
      <c r="F846" s="2" t="s">
        <v>48</v>
      </c>
      <c r="G846" s="2" t="s">
        <v>193</v>
      </c>
      <c r="H846">
        <v>1</v>
      </c>
      <c r="I846">
        <v>3</v>
      </c>
      <c r="J846">
        <v>95.38</v>
      </c>
      <c r="K846">
        <v>0.05</v>
      </c>
      <c r="L846">
        <v>39</v>
      </c>
      <c r="M846">
        <v>286.14</v>
      </c>
      <c r="N846">
        <v>271.83299999999997</v>
      </c>
      <c r="O846">
        <v>117</v>
      </c>
      <c r="P846">
        <v>154.83299999999997</v>
      </c>
    </row>
    <row r="847" spans="1:16" x14ac:dyDescent="0.3">
      <c r="A847" s="1">
        <v>45839</v>
      </c>
      <c r="B847" s="2" t="s">
        <v>39</v>
      </c>
      <c r="C847" s="2" t="s">
        <v>78</v>
      </c>
      <c r="D847" s="2" t="s">
        <v>41</v>
      </c>
      <c r="E847" s="2" t="s">
        <v>42</v>
      </c>
      <c r="F847" s="2" t="s">
        <v>48</v>
      </c>
      <c r="G847" s="2" t="s">
        <v>217</v>
      </c>
      <c r="H847">
        <v>1</v>
      </c>
      <c r="I847">
        <v>3</v>
      </c>
      <c r="J847">
        <v>71.73</v>
      </c>
      <c r="K847">
        <v>0</v>
      </c>
      <c r="L847">
        <v>31</v>
      </c>
      <c r="M847">
        <v>215.19</v>
      </c>
      <c r="N847">
        <v>215.19</v>
      </c>
      <c r="O847">
        <v>93</v>
      </c>
      <c r="P847">
        <v>122.19</v>
      </c>
    </row>
    <row r="848" spans="1:16" x14ac:dyDescent="0.3">
      <c r="A848" s="1">
        <v>45839</v>
      </c>
      <c r="B848" s="2" t="s">
        <v>83</v>
      </c>
      <c r="C848" s="2" t="s">
        <v>164</v>
      </c>
      <c r="D848" s="2" t="s">
        <v>50</v>
      </c>
      <c r="E848" s="2" t="s">
        <v>42</v>
      </c>
      <c r="F848" s="2" t="s">
        <v>48</v>
      </c>
      <c r="G848" s="2" t="s">
        <v>53</v>
      </c>
      <c r="H848">
        <v>2</v>
      </c>
      <c r="I848">
        <v>6</v>
      </c>
      <c r="J848">
        <v>136.44999999999999</v>
      </c>
      <c r="K848">
        <v>0.12</v>
      </c>
      <c r="L848">
        <v>63</v>
      </c>
      <c r="M848">
        <v>818.69999999999993</v>
      </c>
      <c r="N848">
        <v>720.4559999999999</v>
      </c>
      <c r="O848">
        <v>378</v>
      </c>
      <c r="P848">
        <v>342.45599999999996</v>
      </c>
    </row>
    <row r="849" spans="1:16" x14ac:dyDescent="0.3">
      <c r="A849" s="1">
        <v>45839</v>
      </c>
      <c r="B849" s="2" t="s">
        <v>83</v>
      </c>
      <c r="C849" s="2" t="s">
        <v>164</v>
      </c>
      <c r="D849" s="2" t="s">
        <v>50</v>
      </c>
      <c r="E849" s="2" t="s">
        <v>42</v>
      </c>
      <c r="F849" s="2" t="s">
        <v>43</v>
      </c>
      <c r="G849" s="2" t="s">
        <v>53</v>
      </c>
      <c r="H849">
        <v>1</v>
      </c>
      <c r="I849">
        <v>2</v>
      </c>
      <c r="J849">
        <v>108.93</v>
      </c>
      <c r="K849">
        <v>0</v>
      </c>
      <c r="L849">
        <v>54</v>
      </c>
      <c r="M849">
        <v>217.86</v>
      </c>
      <c r="N849">
        <v>217.86</v>
      </c>
      <c r="O849">
        <v>108</v>
      </c>
      <c r="P849">
        <v>109.86000000000001</v>
      </c>
    </row>
    <row r="850" spans="1:16" x14ac:dyDescent="0.3">
      <c r="A850" s="1">
        <v>45839</v>
      </c>
      <c r="B850" s="2" t="s">
        <v>39</v>
      </c>
      <c r="C850" s="2" t="s">
        <v>78</v>
      </c>
      <c r="D850" s="2" t="s">
        <v>41</v>
      </c>
      <c r="E850" s="2" t="s">
        <v>42</v>
      </c>
      <c r="F850" s="2" t="s">
        <v>43</v>
      </c>
      <c r="G850" s="2" t="s">
        <v>156</v>
      </c>
      <c r="H850">
        <v>1</v>
      </c>
      <c r="I850">
        <v>2</v>
      </c>
      <c r="J850">
        <v>284.39</v>
      </c>
      <c r="K850">
        <v>0</v>
      </c>
      <c r="L850">
        <v>182</v>
      </c>
      <c r="M850">
        <v>568.78</v>
      </c>
      <c r="N850">
        <v>568.78</v>
      </c>
      <c r="O850">
        <v>364</v>
      </c>
      <c r="P850">
        <v>204.77999999999997</v>
      </c>
    </row>
    <row r="851" spans="1:16" x14ac:dyDescent="0.3">
      <c r="A851" s="1">
        <v>45839</v>
      </c>
      <c r="B851" s="2" t="s">
        <v>56</v>
      </c>
      <c r="C851" s="2" t="s">
        <v>57</v>
      </c>
      <c r="D851" s="2" t="s">
        <v>46</v>
      </c>
      <c r="E851" s="2" t="s">
        <v>51</v>
      </c>
      <c r="F851" s="2" t="s">
        <v>43</v>
      </c>
      <c r="G851" s="2" t="s">
        <v>116</v>
      </c>
      <c r="H851">
        <v>2</v>
      </c>
      <c r="I851">
        <v>16</v>
      </c>
      <c r="J851">
        <v>471.13</v>
      </c>
      <c r="K851">
        <v>0.12</v>
      </c>
      <c r="L851">
        <v>303</v>
      </c>
      <c r="M851">
        <v>10055.439999999999</v>
      </c>
      <c r="N851">
        <v>8848.7871999999988</v>
      </c>
      <c r="O851">
        <v>6584</v>
      </c>
      <c r="P851">
        <v>2264.7871999999988</v>
      </c>
    </row>
    <row r="852" spans="1:16" x14ac:dyDescent="0.3">
      <c r="A852" s="1">
        <v>45839</v>
      </c>
      <c r="B852" s="2" t="s">
        <v>83</v>
      </c>
      <c r="C852" s="2" t="s">
        <v>84</v>
      </c>
      <c r="D852" s="2" t="s">
        <v>41</v>
      </c>
      <c r="E852" s="2" t="s">
        <v>42</v>
      </c>
      <c r="F852" s="2" t="s">
        <v>52</v>
      </c>
      <c r="G852" s="2" t="s">
        <v>85</v>
      </c>
      <c r="H852">
        <v>1</v>
      </c>
      <c r="I852">
        <v>3</v>
      </c>
      <c r="J852">
        <v>204.68</v>
      </c>
      <c r="K852">
        <v>0</v>
      </c>
      <c r="L852">
        <v>124</v>
      </c>
      <c r="M852">
        <v>614.04</v>
      </c>
      <c r="N852">
        <v>614.04</v>
      </c>
      <c r="O852">
        <v>372</v>
      </c>
      <c r="P852">
        <v>242.03999999999996</v>
      </c>
    </row>
    <row r="853" spans="1:16" x14ac:dyDescent="0.3">
      <c r="A853" s="1">
        <v>45839</v>
      </c>
      <c r="B853" s="2" t="s">
        <v>83</v>
      </c>
      <c r="C853" s="2" t="s">
        <v>84</v>
      </c>
      <c r="D853" s="2" t="s">
        <v>41</v>
      </c>
      <c r="E853" s="2" t="s">
        <v>42</v>
      </c>
      <c r="F853" s="2" t="s">
        <v>48</v>
      </c>
      <c r="G853" s="2" t="s">
        <v>85</v>
      </c>
      <c r="H853">
        <v>2</v>
      </c>
      <c r="I853">
        <v>7</v>
      </c>
      <c r="J853">
        <v>82.009999999999991</v>
      </c>
      <c r="K853">
        <v>0</v>
      </c>
      <c r="L853">
        <v>35</v>
      </c>
      <c r="M853">
        <v>561.88</v>
      </c>
      <c r="N853">
        <v>561.88</v>
      </c>
      <c r="O853">
        <v>241</v>
      </c>
      <c r="P853">
        <v>320.88</v>
      </c>
    </row>
    <row r="854" spans="1:16" x14ac:dyDescent="0.3">
      <c r="A854" s="1">
        <v>45839</v>
      </c>
      <c r="B854" s="2" t="s">
        <v>65</v>
      </c>
      <c r="C854" s="2" t="s">
        <v>66</v>
      </c>
      <c r="D854" s="2" t="s">
        <v>41</v>
      </c>
      <c r="E854" s="2" t="s">
        <v>47</v>
      </c>
      <c r="F854" s="2" t="s">
        <v>43</v>
      </c>
      <c r="G854" s="2" t="s">
        <v>176</v>
      </c>
      <c r="H854">
        <v>1</v>
      </c>
      <c r="I854">
        <v>1</v>
      </c>
      <c r="J854">
        <v>647.47</v>
      </c>
      <c r="K854">
        <v>0</v>
      </c>
      <c r="L854">
        <v>395</v>
      </c>
      <c r="M854">
        <v>647.47</v>
      </c>
      <c r="N854">
        <v>647.47</v>
      </c>
      <c r="O854">
        <v>395</v>
      </c>
      <c r="P854">
        <v>252.47000000000003</v>
      </c>
    </row>
    <row r="855" spans="1:16" x14ac:dyDescent="0.3">
      <c r="A855" s="1">
        <v>45839</v>
      </c>
      <c r="B855" s="2" t="s">
        <v>65</v>
      </c>
      <c r="C855" s="2" t="s">
        <v>66</v>
      </c>
      <c r="D855" s="2" t="s">
        <v>41</v>
      </c>
      <c r="E855" s="2" t="s">
        <v>47</v>
      </c>
      <c r="F855" s="2" t="s">
        <v>48</v>
      </c>
      <c r="G855" s="2" t="s">
        <v>176</v>
      </c>
      <c r="H855">
        <v>1</v>
      </c>
      <c r="I855">
        <v>5</v>
      </c>
      <c r="J855">
        <v>74.56</v>
      </c>
      <c r="K855">
        <v>0</v>
      </c>
      <c r="L855">
        <v>31</v>
      </c>
      <c r="M855">
        <v>372.8</v>
      </c>
      <c r="N855">
        <v>372.8</v>
      </c>
      <c r="O855">
        <v>155</v>
      </c>
      <c r="P855">
        <v>217.8</v>
      </c>
    </row>
    <row r="856" spans="1:16" x14ac:dyDescent="0.3">
      <c r="A856" s="1">
        <v>45839</v>
      </c>
      <c r="B856" s="2" t="s">
        <v>75</v>
      </c>
      <c r="C856" s="2" t="s">
        <v>106</v>
      </c>
      <c r="D856" s="2" t="s">
        <v>41</v>
      </c>
      <c r="E856" s="2" t="s">
        <v>47</v>
      </c>
      <c r="F856" s="2" t="s">
        <v>43</v>
      </c>
      <c r="G856" s="2" t="s">
        <v>155</v>
      </c>
      <c r="H856">
        <v>1</v>
      </c>
      <c r="I856">
        <v>2</v>
      </c>
      <c r="J856">
        <v>109.99</v>
      </c>
      <c r="K856">
        <v>0</v>
      </c>
      <c r="L856">
        <v>54</v>
      </c>
      <c r="M856">
        <v>219.98</v>
      </c>
      <c r="N856">
        <v>219.98</v>
      </c>
      <c r="O856">
        <v>108</v>
      </c>
      <c r="P856">
        <v>111.97999999999999</v>
      </c>
    </row>
    <row r="857" spans="1:16" x14ac:dyDescent="0.3">
      <c r="A857" s="1">
        <v>45839</v>
      </c>
      <c r="B857" s="2" t="s">
        <v>65</v>
      </c>
      <c r="C857" s="2" t="s">
        <v>80</v>
      </c>
      <c r="D857" s="2" t="s">
        <v>50</v>
      </c>
      <c r="E857" s="2" t="s">
        <v>42</v>
      </c>
      <c r="F857" s="2" t="s">
        <v>52</v>
      </c>
      <c r="G857" s="2" t="s">
        <v>81</v>
      </c>
      <c r="H857">
        <v>2</v>
      </c>
      <c r="I857">
        <v>2</v>
      </c>
      <c r="J857">
        <v>123.47999999999999</v>
      </c>
      <c r="K857">
        <v>7.5000000000000011E-2</v>
      </c>
      <c r="L857">
        <v>71</v>
      </c>
      <c r="M857">
        <v>246.95999999999998</v>
      </c>
      <c r="N857">
        <v>224.435</v>
      </c>
      <c r="O857">
        <v>142</v>
      </c>
      <c r="P857">
        <v>82.435000000000002</v>
      </c>
    </row>
    <row r="858" spans="1:16" x14ac:dyDescent="0.3">
      <c r="A858" s="1">
        <v>45992</v>
      </c>
      <c r="B858" s="2" t="s">
        <v>39</v>
      </c>
      <c r="C858" s="2" t="s">
        <v>40</v>
      </c>
      <c r="D858" s="2" t="s">
        <v>50</v>
      </c>
      <c r="E858" s="2" t="s">
        <v>42</v>
      </c>
      <c r="F858" s="2" t="s">
        <v>48</v>
      </c>
      <c r="G858" s="2" t="s">
        <v>82</v>
      </c>
      <c r="H858">
        <v>1</v>
      </c>
      <c r="I858">
        <v>3</v>
      </c>
      <c r="J858">
        <v>132.96</v>
      </c>
      <c r="K858">
        <v>0.1</v>
      </c>
      <c r="L858">
        <v>63</v>
      </c>
      <c r="M858">
        <v>398.88</v>
      </c>
      <c r="N858">
        <v>358.99200000000002</v>
      </c>
      <c r="O858">
        <v>189</v>
      </c>
      <c r="P858">
        <v>169.99200000000002</v>
      </c>
    </row>
    <row r="859" spans="1:16" x14ac:dyDescent="0.3">
      <c r="A859" s="1">
        <v>45839</v>
      </c>
      <c r="B859" s="2" t="s">
        <v>83</v>
      </c>
      <c r="C859" s="2" t="s">
        <v>164</v>
      </c>
      <c r="D859" s="2" t="s">
        <v>50</v>
      </c>
      <c r="E859" s="2" t="s">
        <v>47</v>
      </c>
      <c r="F859" s="2" t="s">
        <v>48</v>
      </c>
      <c r="G859" s="2" t="s">
        <v>232</v>
      </c>
      <c r="H859">
        <v>1</v>
      </c>
      <c r="I859">
        <v>2</v>
      </c>
      <c r="J859">
        <v>23.9</v>
      </c>
      <c r="K859">
        <v>0.05</v>
      </c>
      <c r="L859">
        <v>8</v>
      </c>
      <c r="M859">
        <v>47.8</v>
      </c>
      <c r="N859">
        <v>45.41</v>
      </c>
      <c r="O859">
        <v>16</v>
      </c>
      <c r="P859">
        <v>29.409999999999997</v>
      </c>
    </row>
    <row r="860" spans="1:16" x14ac:dyDescent="0.3">
      <c r="A860" s="1">
        <v>45839</v>
      </c>
      <c r="B860" s="2" t="s">
        <v>39</v>
      </c>
      <c r="C860" s="2" t="s">
        <v>40</v>
      </c>
      <c r="D860" s="2" t="s">
        <v>46</v>
      </c>
      <c r="E860" s="2" t="s">
        <v>51</v>
      </c>
      <c r="F860" s="2" t="s">
        <v>48</v>
      </c>
      <c r="G860" s="2" t="s">
        <v>228</v>
      </c>
      <c r="H860">
        <v>1</v>
      </c>
      <c r="I860">
        <v>21</v>
      </c>
      <c r="J860">
        <v>128.05000000000001</v>
      </c>
      <c r="K860">
        <v>0.05</v>
      </c>
      <c r="L860">
        <v>63</v>
      </c>
      <c r="M860">
        <v>2689.05</v>
      </c>
      <c r="N860">
        <v>2554.5974999999999</v>
      </c>
      <c r="O860">
        <v>1323</v>
      </c>
      <c r="P860">
        <v>1231.5974999999999</v>
      </c>
    </row>
    <row r="861" spans="1:16" x14ac:dyDescent="0.3">
      <c r="A861" s="1">
        <v>45839</v>
      </c>
      <c r="B861" s="2" t="s">
        <v>39</v>
      </c>
      <c r="C861" s="2" t="s">
        <v>40</v>
      </c>
      <c r="D861" s="2" t="s">
        <v>46</v>
      </c>
      <c r="E861" s="2" t="s">
        <v>51</v>
      </c>
      <c r="F861" s="2" t="s">
        <v>43</v>
      </c>
      <c r="G861" s="2" t="s">
        <v>228</v>
      </c>
      <c r="H861">
        <v>2</v>
      </c>
      <c r="I861">
        <v>18</v>
      </c>
      <c r="J861">
        <v>545.39</v>
      </c>
      <c r="K861">
        <v>0.1</v>
      </c>
      <c r="L861">
        <v>395</v>
      </c>
      <c r="M861">
        <v>9817.02</v>
      </c>
      <c r="N861">
        <v>8835.3180000000011</v>
      </c>
      <c r="O861">
        <v>7110</v>
      </c>
      <c r="P861">
        <v>1725.3180000000011</v>
      </c>
    </row>
    <row r="862" spans="1:16" x14ac:dyDescent="0.3">
      <c r="A862" s="1">
        <v>45839</v>
      </c>
      <c r="B862" s="2" t="s">
        <v>39</v>
      </c>
      <c r="C862" s="2" t="s">
        <v>78</v>
      </c>
      <c r="D862" s="2" t="s">
        <v>41</v>
      </c>
      <c r="E862" s="2" t="s">
        <v>51</v>
      </c>
      <c r="F862" s="2" t="s">
        <v>52</v>
      </c>
      <c r="G862" s="2" t="s">
        <v>119</v>
      </c>
      <c r="H862">
        <v>1</v>
      </c>
      <c r="I862">
        <v>7</v>
      </c>
      <c r="J862">
        <v>188.45</v>
      </c>
      <c r="K862">
        <v>0</v>
      </c>
      <c r="L862">
        <v>124</v>
      </c>
      <c r="M862">
        <v>1319.1499999999999</v>
      </c>
      <c r="N862">
        <v>1319.1499999999999</v>
      </c>
      <c r="O862">
        <v>868</v>
      </c>
      <c r="P862">
        <v>451.14999999999986</v>
      </c>
    </row>
    <row r="863" spans="1:16" x14ac:dyDescent="0.3">
      <c r="A863" s="1">
        <v>45839</v>
      </c>
      <c r="B863" s="2" t="s">
        <v>39</v>
      </c>
      <c r="C863" s="2" t="s">
        <v>54</v>
      </c>
      <c r="D863" s="2" t="s">
        <v>41</v>
      </c>
      <c r="E863" s="2" t="s">
        <v>42</v>
      </c>
      <c r="F863" s="2" t="s">
        <v>48</v>
      </c>
      <c r="G863" s="2" t="s">
        <v>86</v>
      </c>
      <c r="H863">
        <v>2</v>
      </c>
      <c r="I863">
        <v>3</v>
      </c>
      <c r="J863">
        <v>113.345</v>
      </c>
      <c r="K863">
        <v>2.5000000000000001E-2</v>
      </c>
      <c r="L863">
        <v>51</v>
      </c>
      <c r="M863">
        <v>321.31</v>
      </c>
      <c r="N863">
        <v>311.84799999999996</v>
      </c>
      <c r="O863">
        <v>141</v>
      </c>
      <c r="P863">
        <v>170.84799999999998</v>
      </c>
    </row>
    <row r="864" spans="1:16" x14ac:dyDescent="0.3">
      <c r="A864" s="1">
        <v>45839</v>
      </c>
      <c r="B864" s="2" t="s">
        <v>39</v>
      </c>
      <c r="C864" s="2" t="s">
        <v>40</v>
      </c>
      <c r="D864" s="2" t="s">
        <v>41</v>
      </c>
      <c r="E864" s="2" t="s">
        <v>47</v>
      </c>
      <c r="F864" s="2" t="s">
        <v>52</v>
      </c>
      <c r="G864" s="2" t="s">
        <v>137</v>
      </c>
      <c r="H864">
        <v>2</v>
      </c>
      <c r="I864">
        <v>4</v>
      </c>
      <c r="J864">
        <v>130.74</v>
      </c>
      <c r="K864">
        <v>7.5000000000000011E-2</v>
      </c>
      <c r="L864">
        <v>71</v>
      </c>
      <c r="M864">
        <v>696.12</v>
      </c>
      <c r="N864">
        <v>628.71600000000001</v>
      </c>
      <c r="O864">
        <v>390</v>
      </c>
      <c r="P864">
        <v>238.71600000000001</v>
      </c>
    </row>
    <row r="865" spans="1:16" x14ac:dyDescent="0.3">
      <c r="A865" s="1">
        <v>45839</v>
      </c>
      <c r="B865" s="2" t="s">
        <v>83</v>
      </c>
      <c r="C865" s="2" t="s">
        <v>84</v>
      </c>
      <c r="D865" s="2" t="s">
        <v>41</v>
      </c>
      <c r="E865" s="2" t="s">
        <v>47</v>
      </c>
      <c r="F865" s="2" t="s">
        <v>52</v>
      </c>
      <c r="G865" s="2" t="s">
        <v>157</v>
      </c>
      <c r="H865">
        <v>1</v>
      </c>
      <c r="I865">
        <v>1</v>
      </c>
      <c r="J865">
        <v>221.43</v>
      </c>
      <c r="K865">
        <v>0</v>
      </c>
      <c r="L865">
        <v>124</v>
      </c>
      <c r="M865">
        <v>221.43</v>
      </c>
      <c r="N865">
        <v>221.43</v>
      </c>
      <c r="O865">
        <v>124</v>
      </c>
      <c r="P865">
        <v>97.43</v>
      </c>
    </row>
    <row r="866" spans="1:16" x14ac:dyDescent="0.3">
      <c r="A866" s="1">
        <v>45839</v>
      </c>
      <c r="B866" s="2" t="s">
        <v>39</v>
      </c>
      <c r="C866" s="2" t="s">
        <v>88</v>
      </c>
      <c r="D866" s="2" t="s">
        <v>41</v>
      </c>
      <c r="E866" s="2" t="s">
        <v>47</v>
      </c>
      <c r="F866" s="2" t="s">
        <v>48</v>
      </c>
      <c r="G866" s="2" t="s">
        <v>117</v>
      </c>
      <c r="H866">
        <v>1</v>
      </c>
      <c r="I866">
        <v>6</v>
      </c>
      <c r="J866">
        <v>97.63</v>
      </c>
      <c r="K866">
        <v>0</v>
      </c>
      <c r="L866">
        <v>39</v>
      </c>
      <c r="M866">
        <v>585.78</v>
      </c>
      <c r="N866">
        <v>585.78</v>
      </c>
      <c r="O866">
        <v>234</v>
      </c>
      <c r="P866">
        <v>351.78</v>
      </c>
    </row>
    <row r="867" spans="1:16" x14ac:dyDescent="0.3">
      <c r="A867" s="1">
        <v>45839</v>
      </c>
      <c r="B867" s="2" t="s">
        <v>39</v>
      </c>
      <c r="C867" s="2" t="s">
        <v>45</v>
      </c>
      <c r="D867" s="2" t="s">
        <v>41</v>
      </c>
      <c r="E867" s="2" t="s">
        <v>42</v>
      </c>
      <c r="F867" s="2" t="s">
        <v>43</v>
      </c>
      <c r="G867" s="2" t="s">
        <v>170</v>
      </c>
      <c r="H867">
        <v>1</v>
      </c>
      <c r="I867">
        <v>3</v>
      </c>
      <c r="J867">
        <v>606.61</v>
      </c>
      <c r="K867">
        <v>0</v>
      </c>
      <c r="L867">
        <v>395</v>
      </c>
      <c r="M867">
        <v>1819.83</v>
      </c>
      <c r="N867">
        <v>1819.83</v>
      </c>
      <c r="O867">
        <v>1185</v>
      </c>
      <c r="P867">
        <v>634.82999999999993</v>
      </c>
    </row>
    <row r="868" spans="1:16" x14ac:dyDescent="0.3">
      <c r="A868" s="1">
        <v>45839</v>
      </c>
      <c r="B868" s="2" t="s">
        <v>39</v>
      </c>
      <c r="C868" s="2" t="s">
        <v>88</v>
      </c>
      <c r="D868" s="2" t="s">
        <v>50</v>
      </c>
      <c r="E868" s="2" t="s">
        <v>42</v>
      </c>
      <c r="F868" s="2" t="s">
        <v>43</v>
      </c>
      <c r="G868" s="2" t="s">
        <v>133</v>
      </c>
      <c r="H868">
        <v>1</v>
      </c>
      <c r="I868">
        <v>3</v>
      </c>
      <c r="J868">
        <v>618.64</v>
      </c>
      <c r="K868">
        <v>0.08</v>
      </c>
      <c r="L868">
        <v>395</v>
      </c>
      <c r="M868">
        <v>1855.92</v>
      </c>
      <c r="N868">
        <v>1707.4464</v>
      </c>
      <c r="O868">
        <v>1185</v>
      </c>
      <c r="P868">
        <v>522.44640000000004</v>
      </c>
    </row>
    <row r="869" spans="1:16" x14ac:dyDescent="0.3">
      <c r="A869" s="1">
        <v>45839</v>
      </c>
      <c r="B869" s="2" t="s">
        <v>39</v>
      </c>
      <c r="C869" s="2" t="s">
        <v>45</v>
      </c>
      <c r="D869" s="2" t="s">
        <v>158</v>
      </c>
      <c r="E869" s="2" t="s">
        <v>42</v>
      </c>
      <c r="F869" s="2" t="s">
        <v>43</v>
      </c>
      <c r="G869" s="2" t="s">
        <v>86</v>
      </c>
      <c r="H869">
        <v>3</v>
      </c>
      <c r="I869">
        <v>3</v>
      </c>
      <c r="J869">
        <v>384.61666666666667</v>
      </c>
      <c r="K869">
        <v>0</v>
      </c>
      <c r="L869">
        <v>230.66666666666666</v>
      </c>
      <c r="M869">
        <v>1153.8499999999999</v>
      </c>
      <c r="N869">
        <v>1153.8499999999999</v>
      </c>
      <c r="O869">
        <v>692</v>
      </c>
      <c r="P869">
        <v>461.84999999999991</v>
      </c>
    </row>
    <row r="870" spans="1:16" x14ac:dyDescent="0.3">
      <c r="A870" s="1">
        <v>45839</v>
      </c>
      <c r="B870" s="2" t="s">
        <v>39</v>
      </c>
      <c r="C870" s="2" t="s">
        <v>45</v>
      </c>
      <c r="D870" s="2" t="s">
        <v>158</v>
      </c>
      <c r="E870" s="2" t="s">
        <v>42</v>
      </c>
      <c r="F870" s="2" t="s">
        <v>48</v>
      </c>
      <c r="G870" s="2" t="s">
        <v>86</v>
      </c>
      <c r="H870">
        <v>1</v>
      </c>
      <c r="I870">
        <v>2</v>
      </c>
      <c r="J870">
        <v>135.32</v>
      </c>
      <c r="K870">
        <v>0.05</v>
      </c>
      <c r="L870">
        <v>630</v>
      </c>
      <c r="M870">
        <v>270.64</v>
      </c>
      <c r="N870">
        <v>257.10799999999995</v>
      </c>
      <c r="O870">
        <v>1260</v>
      </c>
      <c r="P870">
        <v>-1002.8920000000001</v>
      </c>
    </row>
    <row r="871" spans="1:16" x14ac:dyDescent="0.3">
      <c r="A871" s="1">
        <v>45839</v>
      </c>
      <c r="B871" s="2" t="s">
        <v>83</v>
      </c>
      <c r="C871" s="2" t="s">
        <v>164</v>
      </c>
      <c r="D871" s="2" t="s">
        <v>41</v>
      </c>
      <c r="E871" s="2" t="s">
        <v>47</v>
      </c>
      <c r="F871" s="2" t="s">
        <v>48</v>
      </c>
      <c r="G871" s="2" t="s">
        <v>206</v>
      </c>
      <c r="H871">
        <v>1</v>
      </c>
      <c r="I871">
        <v>5</v>
      </c>
      <c r="J871">
        <v>97.96</v>
      </c>
      <c r="K871">
        <v>0</v>
      </c>
      <c r="L871">
        <v>39</v>
      </c>
      <c r="M871">
        <v>489.79999999999995</v>
      </c>
      <c r="N871">
        <v>489.79999999999995</v>
      </c>
      <c r="O871">
        <v>195</v>
      </c>
      <c r="P871">
        <v>294.79999999999995</v>
      </c>
    </row>
    <row r="872" spans="1:16" x14ac:dyDescent="0.3">
      <c r="A872" s="1">
        <v>45992</v>
      </c>
      <c r="B872" s="2" t="s">
        <v>39</v>
      </c>
      <c r="C872" s="2" t="s">
        <v>78</v>
      </c>
      <c r="D872" s="2" t="s">
        <v>41</v>
      </c>
      <c r="E872" s="2" t="s">
        <v>42</v>
      </c>
      <c r="F872" s="2" t="s">
        <v>52</v>
      </c>
      <c r="G872" s="2" t="s">
        <v>123</v>
      </c>
      <c r="H872">
        <v>1</v>
      </c>
      <c r="I872">
        <v>3</v>
      </c>
      <c r="J872">
        <v>44.55</v>
      </c>
      <c r="K872">
        <v>0</v>
      </c>
      <c r="L872">
        <v>18</v>
      </c>
      <c r="M872">
        <v>133.64999999999998</v>
      </c>
      <c r="N872">
        <v>133.64999999999998</v>
      </c>
      <c r="O872">
        <v>54</v>
      </c>
      <c r="P872">
        <v>79.649999999999977</v>
      </c>
    </row>
    <row r="873" spans="1:16" x14ac:dyDescent="0.3">
      <c r="A873" s="1">
        <v>45992</v>
      </c>
      <c r="B873" s="2" t="s">
        <v>39</v>
      </c>
      <c r="C873" s="2" t="s">
        <v>78</v>
      </c>
      <c r="D873" s="2" t="s">
        <v>41</v>
      </c>
      <c r="E873" s="2" t="s">
        <v>42</v>
      </c>
      <c r="F873" s="2" t="s">
        <v>43</v>
      </c>
      <c r="G873" s="2" t="s">
        <v>123</v>
      </c>
      <c r="H873">
        <v>1</v>
      </c>
      <c r="I873">
        <v>2</v>
      </c>
      <c r="J873">
        <v>175.32</v>
      </c>
      <c r="K873">
        <v>0</v>
      </c>
      <c r="L873">
        <v>86</v>
      </c>
      <c r="M873">
        <v>350.64</v>
      </c>
      <c r="N873">
        <v>350.64</v>
      </c>
      <c r="O873">
        <v>172</v>
      </c>
      <c r="P873">
        <v>178.64</v>
      </c>
    </row>
    <row r="874" spans="1:16" x14ac:dyDescent="0.3">
      <c r="A874" s="1">
        <v>45839</v>
      </c>
      <c r="B874" s="2" t="s">
        <v>39</v>
      </c>
      <c r="C874" s="2" t="s">
        <v>88</v>
      </c>
      <c r="D874" s="2" t="s">
        <v>46</v>
      </c>
      <c r="E874" s="2" t="s">
        <v>51</v>
      </c>
      <c r="F874" s="2" t="s">
        <v>43</v>
      </c>
      <c r="G874" s="2" t="s">
        <v>210</v>
      </c>
      <c r="H874">
        <v>2</v>
      </c>
      <c r="I874">
        <v>16</v>
      </c>
      <c r="J874">
        <v>183.2</v>
      </c>
      <c r="K874">
        <v>0.125</v>
      </c>
      <c r="L874">
        <v>118</v>
      </c>
      <c r="M874">
        <v>2107</v>
      </c>
      <c r="N874">
        <v>1856.4570000000003</v>
      </c>
      <c r="O874">
        <v>1248</v>
      </c>
      <c r="P874">
        <v>608.45700000000022</v>
      </c>
    </row>
    <row r="875" spans="1:16" x14ac:dyDescent="0.3">
      <c r="A875" s="1">
        <v>45839</v>
      </c>
      <c r="B875" s="2" t="s">
        <v>39</v>
      </c>
      <c r="C875" s="2" t="s">
        <v>88</v>
      </c>
      <c r="D875" s="2" t="s">
        <v>46</v>
      </c>
      <c r="E875" s="2" t="s">
        <v>51</v>
      </c>
      <c r="F875" s="2" t="s">
        <v>48</v>
      </c>
      <c r="G875" s="2" t="s">
        <v>210</v>
      </c>
      <c r="H875">
        <v>1</v>
      </c>
      <c r="I875">
        <v>10</v>
      </c>
      <c r="J875">
        <v>67.28</v>
      </c>
      <c r="K875">
        <v>0.1</v>
      </c>
      <c r="L875">
        <v>31</v>
      </c>
      <c r="M875">
        <v>672.8</v>
      </c>
      <c r="N875">
        <v>605.52</v>
      </c>
      <c r="O875">
        <v>310</v>
      </c>
      <c r="P875">
        <v>295.52</v>
      </c>
    </row>
    <row r="876" spans="1:16" x14ac:dyDescent="0.3">
      <c r="A876" s="1">
        <v>45839</v>
      </c>
      <c r="B876" s="2" t="s">
        <v>39</v>
      </c>
      <c r="C876" s="2" t="s">
        <v>88</v>
      </c>
      <c r="D876" s="2" t="s">
        <v>46</v>
      </c>
      <c r="E876" s="2" t="s">
        <v>51</v>
      </c>
      <c r="F876" s="2" t="s">
        <v>52</v>
      </c>
      <c r="G876" s="2" t="s">
        <v>210</v>
      </c>
      <c r="H876">
        <v>1</v>
      </c>
      <c r="I876">
        <v>10</v>
      </c>
      <c r="J876">
        <v>38.659999999999997</v>
      </c>
      <c r="K876">
        <v>0.12</v>
      </c>
      <c r="L876">
        <v>18</v>
      </c>
      <c r="M876">
        <v>386.59999999999997</v>
      </c>
      <c r="N876">
        <v>340.20799999999997</v>
      </c>
      <c r="O876">
        <v>180</v>
      </c>
      <c r="P876">
        <v>160.20799999999997</v>
      </c>
    </row>
    <row r="877" spans="1:16" x14ac:dyDescent="0.3">
      <c r="A877" s="1">
        <v>45839</v>
      </c>
      <c r="B877" s="2" t="s">
        <v>39</v>
      </c>
      <c r="C877" s="2" t="s">
        <v>45</v>
      </c>
      <c r="D877" s="2" t="s">
        <v>41</v>
      </c>
      <c r="E877" s="2" t="s">
        <v>42</v>
      </c>
      <c r="F877" s="2" t="s">
        <v>52</v>
      </c>
      <c r="G877" s="2" t="s">
        <v>132</v>
      </c>
      <c r="H877">
        <v>1</v>
      </c>
      <c r="I877">
        <v>3</v>
      </c>
      <c r="J877">
        <v>44.18</v>
      </c>
      <c r="K877">
        <v>0.05</v>
      </c>
      <c r="L877">
        <v>18</v>
      </c>
      <c r="M877">
        <v>132.54</v>
      </c>
      <c r="N877">
        <v>125.91299999999998</v>
      </c>
      <c r="O877">
        <v>54</v>
      </c>
      <c r="P877">
        <v>71.912999999999982</v>
      </c>
    </row>
    <row r="878" spans="1:16" x14ac:dyDescent="0.3">
      <c r="A878" s="1">
        <v>45839</v>
      </c>
      <c r="B878" s="2" t="s">
        <v>65</v>
      </c>
      <c r="C878" s="2" t="s">
        <v>134</v>
      </c>
      <c r="D878" s="2" t="s">
        <v>41</v>
      </c>
      <c r="E878" s="2" t="s">
        <v>42</v>
      </c>
      <c r="F878" s="2" t="s">
        <v>48</v>
      </c>
      <c r="G878" s="2" t="s">
        <v>227</v>
      </c>
      <c r="H878">
        <v>1</v>
      </c>
      <c r="I878">
        <v>1</v>
      </c>
      <c r="J878">
        <v>90.83</v>
      </c>
      <c r="K878">
        <v>0.05</v>
      </c>
      <c r="L878">
        <v>39</v>
      </c>
      <c r="M878">
        <v>90.83</v>
      </c>
      <c r="N878">
        <v>86.288499999999999</v>
      </c>
      <c r="O878">
        <v>39</v>
      </c>
      <c r="P878">
        <v>47.288499999999999</v>
      </c>
    </row>
    <row r="879" spans="1:16" x14ac:dyDescent="0.3">
      <c r="A879" s="1">
        <v>45839</v>
      </c>
      <c r="B879" s="2" t="s">
        <v>39</v>
      </c>
      <c r="C879" s="2" t="s">
        <v>88</v>
      </c>
      <c r="D879" s="2" t="s">
        <v>50</v>
      </c>
      <c r="E879" s="2" t="s">
        <v>42</v>
      </c>
      <c r="F879" s="2" t="s">
        <v>52</v>
      </c>
      <c r="G879" s="2" t="s">
        <v>140</v>
      </c>
      <c r="H879">
        <v>1</v>
      </c>
      <c r="I879">
        <v>2</v>
      </c>
      <c r="J879">
        <v>44.64</v>
      </c>
      <c r="K879">
        <v>0.08</v>
      </c>
      <c r="L879">
        <v>18</v>
      </c>
      <c r="M879">
        <v>89.28</v>
      </c>
      <c r="N879">
        <v>82.137600000000006</v>
      </c>
      <c r="O879">
        <v>36</v>
      </c>
      <c r="P879">
        <v>46.137600000000006</v>
      </c>
    </row>
    <row r="880" spans="1:16" x14ac:dyDescent="0.3">
      <c r="A880" s="1">
        <v>45839</v>
      </c>
      <c r="B880" s="2" t="s">
        <v>65</v>
      </c>
      <c r="C880" s="2" t="s">
        <v>66</v>
      </c>
      <c r="D880" s="2" t="s">
        <v>41</v>
      </c>
      <c r="E880" s="2" t="s">
        <v>42</v>
      </c>
      <c r="F880" s="2" t="s">
        <v>48</v>
      </c>
      <c r="G880" s="2" t="s">
        <v>176</v>
      </c>
      <c r="H880">
        <v>1</v>
      </c>
      <c r="I880">
        <v>4</v>
      </c>
      <c r="J880">
        <v>140.4</v>
      </c>
      <c r="K880">
        <v>0.05</v>
      </c>
      <c r="L880">
        <v>63</v>
      </c>
      <c r="M880">
        <v>561.6</v>
      </c>
      <c r="N880">
        <v>533.52</v>
      </c>
      <c r="O880">
        <v>252</v>
      </c>
      <c r="P880">
        <v>281.52</v>
      </c>
    </row>
    <row r="881" spans="1:16" x14ac:dyDescent="0.3">
      <c r="A881" s="1">
        <v>45839</v>
      </c>
      <c r="B881" s="2" t="s">
        <v>56</v>
      </c>
      <c r="C881" s="2" t="s">
        <v>62</v>
      </c>
      <c r="D881" s="2" t="s">
        <v>41</v>
      </c>
      <c r="E881" s="2" t="s">
        <v>47</v>
      </c>
      <c r="F881" s="2" t="s">
        <v>43</v>
      </c>
      <c r="G881" s="2" t="s">
        <v>143</v>
      </c>
      <c r="H881">
        <v>1</v>
      </c>
      <c r="I881">
        <v>1</v>
      </c>
      <c r="J881">
        <v>309.99</v>
      </c>
      <c r="K881">
        <v>0</v>
      </c>
      <c r="L881">
        <v>182</v>
      </c>
      <c r="M881">
        <v>309.99</v>
      </c>
      <c r="N881">
        <v>309.99</v>
      </c>
      <c r="O881">
        <v>182</v>
      </c>
      <c r="P881">
        <v>127.99000000000001</v>
      </c>
    </row>
    <row r="882" spans="1:16" x14ac:dyDescent="0.3">
      <c r="A882" s="1">
        <v>45839</v>
      </c>
      <c r="B882" s="2" t="s">
        <v>56</v>
      </c>
      <c r="C882" s="2" t="s">
        <v>57</v>
      </c>
      <c r="D882" s="2" t="s">
        <v>46</v>
      </c>
      <c r="E882" s="2" t="s">
        <v>42</v>
      </c>
      <c r="F882" s="2" t="s">
        <v>52</v>
      </c>
      <c r="G882" s="2" t="s">
        <v>116</v>
      </c>
      <c r="H882">
        <v>1</v>
      </c>
      <c r="I882">
        <v>3</v>
      </c>
      <c r="J882">
        <v>202.66</v>
      </c>
      <c r="K882">
        <v>0.12</v>
      </c>
      <c r="L882">
        <v>124</v>
      </c>
      <c r="M882">
        <v>607.98</v>
      </c>
      <c r="N882">
        <v>535.02240000000006</v>
      </c>
      <c r="O882">
        <v>372</v>
      </c>
      <c r="P882">
        <v>163.02240000000006</v>
      </c>
    </row>
    <row r="883" spans="1:16" x14ac:dyDescent="0.3">
      <c r="A883" s="1">
        <v>45839</v>
      </c>
      <c r="B883" s="2" t="s">
        <v>56</v>
      </c>
      <c r="C883" s="2" t="s">
        <v>62</v>
      </c>
      <c r="D883" s="2" t="s">
        <v>46</v>
      </c>
      <c r="E883" s="2" t="s">
        <v>42</v>
      </c>
      <c r="F883" s="2" t="s">
        <v>48</v>
      </c>
      <c r="G883" s="2" t="s">
        <v>63</v>
      </c>
      <c r="H883">
        <v>2</v>
      </c>
      <c r="I883">
        <v>8</v>
      </c>
      <c r="J883">
        <v>77.245000000000005</v>
      </c>
      <c r="K883">
        <v>0.09</v>
      </c>
      <c r="L883">
        <v>35.5</v>
      </c>
      <c r="M883">
        <v>617.96</v>
      </c>
      <c r="N883">
        <v>558.01520000000005</v>
      </c>
      <c r="O883">
        <v>284</v>
      </c>
      <c r="P883">
        <v>274.01520000000005</v>
      </c>
    </row>
    <row r="884" spans="1:16" x14ac:dyDescent="0.3">
      <c r="A884" s="1">
        <v>45839</v>
      </c>
      <c r="B884" s="2" t="s">
        <v>197</v>
      </c>
      <c r="C884" s="2" t="s">
        <v>45</v>
      </c>
      <c r="D884" s="2" t="s">
        <v>50</v>
      </c>
      <c r="E884" s="2" t="s">
        <v>42</v>
      </c>
      <c r="F884" s="2" t="s">
        <v>43</v>
      </c>
      <c r="G884" s="2" t="s">
        <v>226</v>
      </c>
      <c r="H884">
        <v>1</v>
      </c>
      <c r="I884">
        <v>3</v>
      </c>
      <c r="J884">
        <v>605.32000000000005</v>
      </c>
      <c r="K884">
        <v>0.05</v>
      </c>
      <c r="L884">
        <v>395</v>
      </c>
      <c r="M884">
        <v>1815.96</v>
      </c>
      <c r="N884">
        <v>1725.162</v>
      </c>
      <c r="O884">
        <v>1185</v>
      </c>
      <c r="P884">
        <v>540.16200000000003</v>
      </c>
    </row>
    <row r="885" spans="1:16" x14ac:dyDescent="0.3">
      <c r="A885" s="1">
        <v>45839</v>
      </c>
      <c r="B885" s="2" t="s">
        <v>39</v>
      </c>
      <c r="C885" s="2" t="s">
        <v>78</v>
      </c>
      <c r="D885" s="2" t="s">
        <v>41</v>
      </c>
      <c r="E885" s="2" t="s">
        <v>51</v>
      </c>
      <c r="F885" s="2" t="s">
        <v>43</v>
      </c>
      <c r="G885" s="2" t="s">
        <v>156</v>
      </c>
      <c r="H885">
        <v>1</v>
      </c>
      <c r="I885">
        <v>6</v>
      </c>
      <c r="J885">
        <v>269.11</v>
      </c>
      <c r="K885">
        <v>0</v>
      </c>
      <c r="L885">
        <v>182</v>
      </c>
      <c r="M885">
        <v>1614.66</v>
      </c>
      <c r="N885">
        <v>1614.66</v>
      </c>
      <c r="O885">
        <v>1092</v>
      </c>
      <c r="P885">
        <v>522.66000000000008</v>
      </c>
    </row>
    <row r="886" spans="1:16" x14ac:dyDescent="0.3">
      <c r="A886" s="1">
        <v>45839</v>
      </c>
      <c r="B886" s="2" t="s">
        <v>65</v>
      </c>
      <c r="C886" s="2" t="s">
        <v>66</v>
      </c>
      <c r="D886" s="2" t="s">
        <v>50</v>
      </c>
      <c r="E886" s="2" t="s">
        <v>42</v>
      </c>
      <c r="F886" s="2" t="s">
        <v>52</v>
      </c>
      <c r="G886" s="2" t="s">
        <v>103</v>
      </c>
      <c r="H886">
        <v>1</v>
      </c>
      <c r="I886">
        <v>2</v>
      </c>
      <c r="J886">
        <v>41.44</v>
      </c>
      <c r="K886">
        <v>0.1</v>
      </c>
      <c r="L886">
        <v>18</v>
      </c>
      <c r="M886">
        <v>82.88</v>
      </c>
      <c r="N886">
        <v>74.591999999999999</v>
      </c>
      <c r="O886">
        <v>36</v>
      </c>
      <c r="P886">
        <v>38.591999999999999</v>
      </c>
    </row>
    <row r="887" spans="1:16" x14ac:dyDescent="0.3">
      <c r="A887" s="1">
        <v>45839</v>
      </c>
      <c r="B887" s="2" t="s">
        <v>39</v>
      </c>
      <c r="C887" s="2" t="s">
        <v>88</v>
      </c>
      <c r="D887" s="2" t="s">
        <v>50</v>
      </c>
      <c r="E887" s="2" t="s">
        <v>42</v>
      </c>
      <c r="F887" s="2" t="s">
        <v>43</v>
      </c>
      <c r="G887" s="2" t="s">
        <v>173</v>
      </c>
      <c r="H887">
        <v>1</v>
      </c>
      <c r="I887">
        <v>1</v>
      </c>
      <c r="J887">
        <v>169.71</v>
      </c>
      <c r="K887">
        <v>0.05</v>
      </c>
      <c r="L887">
        <v>86</v>
      </c>
      <c r="M887">
        <v>169.71</v>
      </c>
      <c r="N887">
        <v>161.22450000000001</v>
      </c>
      <c r="O887">
        <v>86</v>
      </c>
      <c r="P887">
        <v>75.224500000000006</v>
      </c>
    </row>
    <row r="888" spans="1:16" x14ac:dyDescent="0.3">
      <c r="A888" s="1">
        <v>45839</v>
      </c>
      <c r="B888" s="2" t="s">
        <v>83</v>
      </c>
      <c r="C888" s="2" t="s">
        <v>84</v>
      </c>
      <c r="D888" s="2" t="s">
        <v>41</v>
      </c>
      <c r="E888" s="2" t="s">
        <v>42</v>
      </c>
      <c r="F888" s="2" t="s">
        <v>43</v>
      </c>
      <c r="G888" s="2" t="s">
        <v>157</v>
      </c>
      <c r="H888">
        <v>1</v>
      </c>
      <c r="I888">
        <v>1</v>
      </c>
      <c r="J888">
        <v>1206.24</v>
      </c>
      <c r="K888">
        <v>0</v>
      </c>
      <c r="L888">
        <v>760</v>
      </c>
      <c r="M888">
        <v>1206.24</v>
      </c>
      <c r="N888">
        <v>1206.24</v>
      </c>
      <c r="O888">
        <v>760</v>
      </c>
      <c r="P888">
        <v>446.24</v>
      </c>
    </row>
    <row r="889" spans="1:16" x14ac:dyDescent="0.3">
      <c r="A889" s="1">
        <v>45839</v>
      </c>
      <c r="B889" s="2" t="s">
        <v>75</v>
      </c>
      <c r="C889" s="2" t="s">
        <v>76</v>
      </c>
      <c r="D889" s="2" t="s">
        <v>50</v>
      </c>
      <c r="E889" s="2" t="s">
        <v>47</v>
      </c>
      <c r="F889" s="2" t="s">
        <v>43</v>
      </c>
      <c r="G889" s="2" t="s">
        <v>151</v>
      </c>
      <c r="H889">
        <v>1</v>
      </c>
      <c r="I889">
        <v>2</v>
      </c>
      <c r="J889">
        <v>636.11</v>
      </c>
      <c r="K889">
        <v>0.05</v>
      </c>
      <c r="L889">
        <v>395</v>
      </c>
      <c r="M889">
        <v>1272.22</v>
      </c>
      <c r="N889">
        <v>1208.6089999999999</v>
      </c>
      <c r="O889">
        <v>790</v>
      </c>
      <c r="P889">
        <v>418.60899999999992</v>
      </c>
    </row>
    <row r="890" spans="1:16" x14ac:dyDescent="0.3">
      <c r="A890" s="1">
        <v>45839</v>
      </c>
      <c r="B890" s="2" t="s">
        <v>83</v>
      </c>
      <c r="C890" s="2" t="s">
        <v>84</v>
      </c>
      <c r="D890" s="2" t="s">
        <v>50</v>
      </c>
      <c r="E890" s="2" t="s">
        <v>51</v>
      </c>
      <c r="F890" s="2" t="s">
        <v>52</v>
      </c>
      <c r="G890" s="2" t="s">
        <v>85</v>
      </c>
      <c r="H890">
        <v>1</v>
      </c>
      <c r="I890">
        <v>4</v>
      </c>
      <c r="J890">
        <v>196.77</v>
      </c>
      <c r="K890">
        <v>0.1</v>
      </c>
      <c r="L890">
        <v>124</v>
      </c>
      <c r="M890">
        <v>787.08</v>
      </c>
      <c r="N890">
        <v>708.37200000000007</v>
      </c>
      <c r="O890">
        <v>496</v>
      </c>
      <c r="P890">
        <v>212.37200000000007</v>
      </c>
    </row>
    <row r="891" spans="1:16" x14ac:dyDescent="0.3">
      <c r="A891" s="1">
        <v>45839</v>
      </c>
      <c r="B891" s="2" t="s">
        <v>39</v>
      </c>
      <c r="C891" s="2" t="s">
        <v>78</v>
      </c>
      <c r="D891" s="2" t="s">
        <v>41</v>
      </c>
      <c r="E891" s="2" t="s">
        <v>47</v>
      </c>
      <c r="F891" s="2" t="s">
        <v>52</v>
      </c>
      <c r="G891" s="2" t="s">
        <v>177</v>
      </c>
      <c r="H891">
        <v>1</v>
      </c>
      <c r="I891">
        <v>1</v>
      </c>
      <c r="J891">
        <v>43.4</v>
      </c>
      <c r="K891">
        <v>0</v>
      </c>
      <c r="L891">
        <v>18</v>
      </c>
      <c r="M891">
        <v>43.4</v>
      </c>
      <c r="N891">
        <v>43.4</v>
      </c>
      <c r="O891">
        <v>18</v>
      </c>
      <c r="P891">
        <v>25.4</v>
      </c>
    </row>
    <row r="892" spans="1:16" x14ac:dyDescent="0.3">
      <c r="A892" s="1">
        <v>45839</v>
      </c>
      <c r="B892" s="2" t="s">
        <v>56</v>
      </c>
      <c r="C892" s="2" t="s">
        <v>62</v>
      </c>
      <c r="D892" s="2" t="s">
        <v>41</v>
      </c>
      <c r="E892" s="2" t="s">
        <v>47</v>
      </c>
      <c r="F892" s="2" t="s">
        <v>48</v>
      </c>
      <c r="G892" s="2" t="s">
        <v>142</v>
      </c>
      <c r="H892">
        <v>1</v>
      </c>
      <c r="I892">
        <v>2</v>
      </c>
      <c r="J892">
        <v>24.04</v>
      </c>
      <c r="K892">
        <v>0</v>
      </c>
      <c r="L892">
        <v>8</v>
      </c>
      <c r="M892">
        <v>48.08</v>
      </c>
      <c r="N892">
        <v>48.08</v>
      </c>
      <c r="O892">
        <v>16</v>
      </c>
      <c r="P892">
        <v>32.08</v>
      </c>
    </row>
    <row r="893" spans="1:16" x14ac:dyDescent="0.3">
      <c r="A893" s="1">
        <v>45839</v>
      </c>
      <c r="B893" s="2" t="s">
        <v>197</v>
      </c>
      <c r="C893" s="2" t="s">
        <v>40</v>
      </c>
      <c r="D893" s="2" t="s">
        <v>50</v>
      </c>
      <c r="E893" s="2" t="s">
        <v>42</v>
      </c>
      <c r="F893" s="2" t="s">
        <v>43</v>
      </c>
      <c r="G893" s="2" t="s">
        <v>198</v>
      </c>
      <c r="H893">
        <v>1</v>
      </c>
      <c r="I893">
        <v>2</v>
      </c>
      <c r="J893">
        <v>110.8</v>
      </c>
      <c r="K893">
        <v>0</v>
      </c>
      <c r="L893">
        <v>54</v>
      </c>
      <c r="M893">
        <v>221.6</v>
      </c>
      <c r="N893">
        <v>221.6</v>
      </c>
      <c r="O893">
        <v>108</v>
      </c>
      <c r="P893">
        <v>113.6</v>
      </c>
    </row>
    <row r="894" spans="1:16" x14ac:dyDescent="0.3">
      <c r="A894" s="1">
        <v>45839</v>
      </c>
      <c r="B894" s="2" t="s">
        <v>39</v>
      </c>
      <c r="C894" s="2" t="s">
        <v>92</v>
      </c>
      <c r="D894" s="2" t="s">
        <v>41</v>
      </c>
      <c r="E894" s="2" t="s">
        <v>47</v>
      </c>
      <c r="F894" s="2" t="s">
        <v>52</v>
      </c>
      <c r="G894" s="2" t="s">
        <v>111</v>
      </c>
      <c r="H894">
        <v>1</v>
      </c>
      <c r="I894">
        <v>3</v>
      </c>
      <c r="J894">
        <v>217.16</v>
      </c>
      <c r="K894">
        <v>0</v>
      </c>
      <c r="L894">
        <v>124</v>
      </c>
      <c r="M894">
        <v>651.48</v>
      </c>
      <c r="N894">
        <v>651.48</v>
      </c>
      <c r="O894">
        <v>372</v>
      </c>
      <c r="P894">
        <v>279.48</v>
      </c>
    </row>
    <row r="895" spans="1:16" x14ac:dyDescent="0.3">
      <c r="A895" s="1">
        <v>45839</v>
      </c>
      <c r="B895" s="2" t="s">
        <v>39</v>
      </c>
      <c r="C895" s="2" t="s">
        <v>88</v>
      </c>
      <c r="D895" s="2" t="s">
        <v>41</v>
      </c>
      <c r="E895" s="2" t="s">
        <v>42</v>
      </c>
      <c r="F895" s="2" t="s">
        <v>43</v>
      </c>
      <c r="G895" s="2" t="s">
        <v>154</v>
      </c>
      <c r="H895">
        <v>1</v>
      </c>
      <c r="I895">
        <v>3</v>
      </c>
      <c r="J895">
        <v>610.91999999999996</v>
      </c>
      <c r="K895">
        <v>0</v>
      </c>
      <c r="L895">
        <v>395</v>
      </c>
      <c r="M895">
        <v>1832.7599999999998</v>
      </c>
      <c r="N895">
        <v>1832.7599999999998</v>
      </c>
      <c r="O895">
        <v>1185</v>
      </c>
      <c r="P895">
        <v>647.75999999999976</v>
      </c>
    </row>
    <row r="896" spans="1:16" x14ac:dyDescent="0.3">
      <c r="A896" s="1">
        <v>45839</v>
      </c>
      <c r="B896" s="2" t="s">
        <v>39</v>
      </c>
      <c r="C896" s="2" t="s">
        <v>40</v>
      </c>
      <c r="D896" s="2" t="s">
        <v>50</v>
      </c>
      <c r="E896" s="2" t="s">
        <v>42</v>
      </c>
      <c r="F896" s="2" t="s">
        <v>52</v>
      </c>
      <c r="G896" s="2" t="s">
        <v>122</v>
      </c>
      <c r="H896">
        <v>1</v>
      </c>
      <c r="I896">
        <v>3</v>
      </c>
      <c r="J896">
        <v>43.5</v>
      </c>
      <c r="K896">
        <v>0.05</v>
      </c>
      <c r="L896">
        <v>18</v>
      </c>
      <c r="M896">
        <v>130.5</v>
      </c>
      <c r="N896">
        <v>123.97499999999999</v>
      </c>
      <c r="O896">
        <v>54</v>
      </c>
      <c r="P896">
        <v>69.974999999999994</v>
      </c>
    </row>
    <row r="897" spans="1:16" x14ac:dyDescent="0.3">
      <c r="A897" s="1">
        <v>45839</v>
      </c>
      <c r="B897" s="2" t="s">
        <v>39</v>
      </c>
      <c r="C897" s="2" t="s">
        <v>40</v>
      </c>
      <c r="D897" s="2" t="s">
        <v>50</v>
      </c>
      <c r="E897" s="2" t="s">
        <v>42</v>
      </c>
      <c r="F897" s="2" t="s">
        <v>43</v>
      </c>
      <c r="G897" s="2" t="s">
        <v>122</v>
      </c>
      <c r="H897">
        <v>1</v>
      </c>
      <c r="I897">
        <v>1</v>
      </c>
      <c r="J897">
        <v>1187.1500000000001</v>
      </c>
      <c r="K897">
        <v>0</v>
      </c>
      <c r="L897">
        <v>760</v>
      </c>
      <c r="M897">
        <v>1187.1500000000001</v>
      </c>
      <c r="N897">
        <v>1187.1500000000001</v>
      </c>
      <c r="O897">
        <v>760</v>
      </c>
      <c r="P897">
        <v>427.15000000000009</v>
      </c>
    </row>
    <row r="898" spans="1:16" x14ac:dyDescent="0.3">
      <c r="A898" s="1">
        <v>45839</v>
      </c>
      <c r="B898" s="2" t="s">
        <v>75</v>
      </c>
      <c r="C898" s="2" t="s">
        <v>76</v>
      </c>
      <c r="D898" s="2" t="s">
        <v>50</v>
      </c>
      <c r="E898" s="2" t="s">
        <v>42</v>
      </c>
      <c r="F898" s="2" t="s">
        <v>43</v>
      </c>
      <c r="G898" s="2" t="s">
        <v>216</v>
      </c>
      <c r="H898">
        <v>1</v>
      </c>
      <c r="I898">
        <v>2</v>
      </c>
      <c r="J898">
        <v>290.64</v>
      </c>
      <c r="K898">
        <v>0.08</v>
      </c>
      <c r="L898">
        <v>182</v>
      </c>
      <c r="M898">
        <v>581.28</v>
      </c>
      <c r="N898">
        <v>534.77760000000001</v>
      </c>
      <c r="O898">
        <v>364</v>
      </c>
      <c r="P898">
        <v>170.77760000000001</v>
      </c>
    </row>
    <row r="899" spans="1:16" x14ac:dyDescent="0.3">
      <c r="A899" s="1">
        <v>45839</v>
      </c>
      <c r="B899" s="2" t="s">
        <v>65</v>
      </c>
      <c r="C899" s="2" t="s">
        <v>134</v>
      </c>
      <c r="D899" s="2" t="s">
        <v>41</v>
      </c>
      <c r="E899" s="2" t="s">
        <v>47</v>
      </c>
      <c r="F899" s="2" t="s">
        <v>43</v>
      </c>
      <c r="G899" s="2" t="s">
        <v>135</v>
      </c>
      <c r="H899">
        <v>1</v>
      </c>
      <c r="I899">
        <v>4</v>
      </c>
      <c r="J899">
        <v>10761</v>
      </c>
      <c r="K899">
        <v>0.05</v>
      </c>
      <c r="L899">
        <v>54</v>
      </c>
      <c r="M899">
        <v>43044</v>
      </c>
      <c r="N899">
        <v>40891.799999999996</v>
      </c>
      <c r="O899">
        <v>216</v>
      </c>
      <c r="P899">
        <v>40675.799999999996</v>
      </c>
    </row>
    <row r="900" spans="1:16" x14ac:dyDescent="0.3">
      <c r="A900" s="1">
        <v>45839</v>
      </c>
      <c r="B900" s="2" t="s">
        <v>65</v>
      </c>
      <c r="C900" s="2" t="s">
        <v>134</v>
      </c>
      <c r="D900" s="2" t="s">
        <v>41</v>
      </c>
      <c r="E900" s="2" t="s">
        <v>47</v>
      </c>
      <c r="F900" s="2" t="s">
        <v>52</v>
      </c>
      <c r="G900" s="2" t="s">
        <v>135</v>
      </c>
      <c r="H900">
        <v>1</v>
      </c>
      <c r="I900">
        <v>1</v>
      </c>
      <c r="J900">
        <v>45.69</v>
      </c>
      <c r="K900">
        <v>0.5</v>
      </c>
      <c r="L900">
        <v>18</v>
      </c>
      <c r="M900">
        <v>45.69</v>
      </c>
      <c r="N900">
        <v>22.844999999999999</v>
      </c>
      <c r="O900">
        <v>18</v>
      </c>
      <c r="P900">
        <v>4.8449999999999989</v>
      </c>
    </row>
    <row r="901" spans="1:16" x14ac:dyDescent="0.3">
      <c r="A901" s="1">
        <v>45839</v>
      </c>
      <c r="B901" s="2" t="s">
        <v>39</v>
      </c>
      <c r="C901" s="2" t="s">
        <v>92</v>
      </c>
      <c r="D901" s="2" t="s">
        <v>46</v>
      </c>
      <c r="E901" s="2" t="s">
        <v>51</v>
      </c>
      <c r="F901" s="2" t="s">
        <v>43</v>
      </c>
      <c r="G901" s="2" t="s">
        <v>154</v>
      </c>
      <c r="H901">
        <v>2</v>
      </c>
      <c r="I901">
        <v>26</v>
      </c>
      <c r="J901">
        <v>158.33000000000001</v>
      </c>
      <c r="K901">
        <v>0.15</v>
      </c>
      <c r="L901">
        <v>86</v>
      </c>
      <c r="M901">
        <v>4116.58</v>
      </c>
      <c r="N901">
        <v>3499.0929999999998</v>
      </c>
      <c r="O901">
        <v>2236</v>
      </c>
      <c r="P901">
        <v>1263.0929999999998</v>
      </c>
    </row>
    <row r="902" spans="1:16" x14ac:dyDescent="0.3">
      <c r="A902" s="1">
        <v>45839</v>
      </c>
      <c r="B902" s="2" t="s">
        <v>39</v>
      </c>
      <c r="C902" s="2" t="s">
        <v>92</v>
      </c>
      <c r="D902" s="2" t="s">
        <v>41</v>
      </c>
      <c r="E902" s="2" t="s">
        <v>47</v>
      </c>
      <c r="F902" s="2" t="s">
        <v>48</v>
      </c>
      <c r="G902" s="2" t="s">
        <v>111</v>
      </c>
      <c r="H902">
        <v>1</v>
      </c>
      <c r="I902">
        <v>5</v>
      </c>
      <c r="J902">
        <v>24.42</v>
      </c>
      <c r="K902">
        <v>0</v>
      </c>
      <c r="L902">
        <v>8</v>
      </c>
      <c r="M902">
        <v>122.10000000000001</v>
      </c>
      <c r="N902">
        <v>122.10000000000001</v>
      </c>
      <c r="O902">
        <v>40</v>
      </c>
      <c r="P902">
        <v>82.100000000000009</v>
      </c>
    </row>
    <row r="903" spans="1:16" x14ac:dyDescent="0.3">
      <c r="A903" s="1">
        <v>45839</v>
      </c>
      <c r="B903" s="2" t="s">
        <v>39</v>
      </c>
      <c r="C903" s="2" t="s">
        <v>92</v>
      </c>
      <c r="D903" s="2" t="s">
        <v>50</v>
      </c>
      <c r="E903" s="2" t="s">
        <v>47</v>
      </c>
      <c r="F903" s="2" t="s">
        <v>43</v>
      </c>
      <c r="G903" s="2" t="s">
        <v>230</v>
      </c>
      <c r="H903">
        <v>1</v>
      </c>
      <c r="I903">
        <v>3</v>
      </c>
      <c r="J903">
        <v>176.09</v>
      </c>
      <c r="K903">
        <v>0.08</v>
      </c>
      <c r="L903">
        <v>86</v>
      </c>
      <c r="M903">
        <v>528.27</v>
      </c>
      <c r="N903">
        <v>486.00839999999999</v>
      </c>
      <c r="O903">
        <v>258</v>
      </c>
      <c r="P903">
        <v>228.00839999999999</v>
      </c>
    </row>
    <row r="904" spans="1:16" x14ac:dyDescent="0.3">
      <c r="A904" s="1">
        <v>45839</v>
      </c>
      <c r="B904" s="2" t="s">
        <v>39</v>
      </c>
      <c r="C904" s="2" t="s">
        <v>92</v>
      </c>
      <c r="D904" s="2" t="s">
        <v>50</v>
      </c>
      <c r="E904" s="2" t="s">
        <v>47</v>
      </c>
      <c r="F904" s="2" t="s">
        <v>52</v>
      </c>
      <c r="G904" s="2" t="s">
        <v>230</v>
      </c>
      <c r="H904">
        <v>1</v>
      </c>
      <c r="I904">
        <v>4</v>
      </c>
      <c r="J904">
        <v>43.49</v>
      </c>
      <c r="K904">
        <v>0.05</v>
      </c>
      <c r="L904">
        <v>18</v>
      </c>
      <c r="M904">
        <v>173.96</v>
      </c>
      <c r="N904">
        <v>165.262</v>
      </c>
      <c r="O904">
        <v>72</v>
      </c>
      <c r="P904">
        <v>93.262</v>
      </c>
    </row>
    <row r="905" spans="1:16" x14ac:dyDescent="0.3">
      <c r="A905" s="1">
        <v>45839</v>
      </c>
      <c r="B905" s="2" t="s">
        <v>56</v>
      </c>
      <c r="C905" s="2" t="s">
        <v>57</v>
      </c>
      <c r="D905" s="2" t="s">
        <v>50</v>
      </c>
      <c r="E905" s="2" t="s">
        <v>96</v>
      </c>
      <c r="F905" s="2" t="s">
        <v>48</v>
      </c>
      <c r="G905" s="2" t="s">
        <v>60</v>
      </c>
      <c r="H905">
        <v>1</v>
      </c>
      <c r="I905">
        <v>3</v>
      </c>
      <c r="J905">
        <v>75.27</v>
      </c>
      <c r="K905">
        <v>0.1</v>
      </c>
      <c r="L905">
        <v>31</v>
      </c>
      <c r="M905">
        <v>225.81</v>
      </c>
      <c r="N905">
        <v>203.22900000000001</v>
      </c>
      <c r="O905">
        <v>93</v>
      </c>
      <c r="P905">
        <v>110.22900000000001</v>
      </c>
    </row>
    <row r="906" spans="1:16" x14ac:dyDescent="0.3">
      <c r="A906" s="1">
        <v>45839</v>
      </c>
      <c r="B906" s="2" t="s">
        <v>39</v>
      </c>
      <c r="C906" s="2" t="s">
        <v>92</v>
      </c>
      <c r="D906" s="2" t="s">
        <v>50</v>
      </c>
      <c r="E906" s="2" t="s">
        <v>47</v>
      </c>
      <c r="F906" s="2" t="s">
        <v>48</v>
      </c>
      <c r="G906" s="2" t="s">
        <v>130</v>
      </c>
      <c r="H906">
        <v>1</v>
      </c>
      <c r="I906">
        <v>6</v>
      </c>
      <c r="J906">
        <v>75.739999999999995</v>
      </c>
      <c r="K906">
        <v>0.05</v>
      </c>
      <c r="L906">
        <v>31</v>
      </c>
      <c r="M906">
        <v>454.43999999999994</v>
      </c>
      <c r="N906">
        <v>431.7179999999999</v>
      </c>
      <c r="O906">
        <v>186</v>
      </c>
      <c r="P906">
        <v>245.7179999999999</v>
      </c>
    </row>
    <row r="907" spans="1:16" x14ac:dyDescent="0.3">
      <c r="A907" s="1">
        <v>45839</v>
      </c>
      <c r="B907" s="2" t="s">
        <v>75</v>
      </c>
      <c r="C907" s="2" t="s">
        <v>76</v>
      </c>
      <c r="D907" s="2" t="s">
        <v>50</v>
      </c>
      <c r="E907" s="2" t="s">
        <v>42</v>
      </c>
      <c r="F907" s="2" t="s">
        <v>43</v>
      </c>
      <c r="G907" s="2" t="s">
        <v>142</v>
      </c>
      <c r="H907">
        <v>1</v>
      </c>
      <c r="I907">
        <v>2</v>
      </c>
      <c r="J907">
        <v>290.20999999999998</v>
      </c>
      <c r="K907">
        <v>0.08</v>
      </c>
      <c r="L907">
        <v>182</v>
      </c>
      <c r="M907">
        <v>580.41999999999996</v>
      </c>
      <c r="N907">
        <v>533.9864</v>
      </c>
      <c r="O907">
        <v>364</v>
      </c>
      <c r="P907">
        <v>169.9864</v>
      </c>
    </row>
    <row r="908" spans="1:16" x14ac:dyDescent="0.3">
      <c r="A908" s="1">
        <v>45839</v>
      </c>
      <c r="B908" s="2" t="s">
        <v>39</v>
      </c>
      <c r="C908" s="2" t="s">
        <v>92</v>
      </c>
      <c r="D908" s="2" t="s">
        <v>41</v>
      </c>
      <c r="E908" s="2" t="s">
        <v>42</v>
      </c>
      <c r="F908" s="2" t="s">
        <v>48</v>
      </c>
      <c r="G908" s="2" t="s">
        <v>225</v>
      </c>
      <c r="H908">
        <v>1</v>
      </c>
      <c r="I908">
        <v>3</v>
      </c>
      <c r="J908">
        <v>92.05</v>
      </c>
      <c r="K908">
        <v>0</v>
      </c>
      <c r="L908">
        <v>39</v>
      </c>
      <c r="M908">
        <v>276.14999999999998</v>
      </c>
      <c r="N908">
        <v>276.14999999999998</v>
      </c>
      <c r="O908">
        <v>117</v>
      </c>
      <c r="P908">
        <v>159.14999999999998</v>
      </c>
    </row>
    <row r="909" spans="1:16" x14ac:dyDescent="0.3">
      <c r="A909" s="1">
        <v>45992</v>
      </c>
      <c r="B909" s="2" t="s">
        <v>39</v>
      </c>
      <c r="C909" s="2" t="s">
        <v>78</v>
      </c>
      <c r="D909" s="2" t="s">
        <v>46</v>
      </c>
      <c r="E909" s="2" t="s">
        <v>42</v>
      </c>
      <c r="F909" s="2" t="s">
        <v>52</v>
      </c>
      <c r="G909" s="2" t="s">
        <v>223</v>
      </c>
      <c r="H909">
        <v>3</v>
      </c>
      <c r="I909">
        <v>6</v>
      </c>
      <c r="J909">
        <v>101.44</v>
      </c>
      <c r="K909">
        <v>8.3333333333333343E-2</v>
      </c>
      <c r="L909">
        <v>53.333333333333336</v>
      </c>
      <c r="M909">
        <v>607.15</v>
      </c>
      <c r="N909">
        <v>568.23400000000004</v>
      </c>
      <c r="O909">
        <v>320</v>
      </c>
      <c r="P909">
        <v>248.23399999999998</v>
      </c>
    </row>
    <row r="910" spans="1:16" x14ac:dyDescent="0.3">
      <c r="A910" s="1">
        <v>45839</v>
      </c>
      <c r="B910" s="2" t="s">
        <v>75</v>
      </c>
      <c r="C910" s="2" t="s">
        <v>106</v>
      </c>
      <c r="D910" s="2" t="s">
        <v>46</v>
      </c>
      <c r="E910" s="2" t="s">
        <v>42</v>
      </c>
      <c r="F910" s="2" t="s">
        <v>52</v>
      </c>
      <c r="G910" s="2" t="s">
        <v>107</v>
      </c>
      <c r="H910">
        <v>1</v>
      </c>
      <c r="I910">
        <v>1</v>
      </c>
      <c r="J910">
        <v>43.28</v>
      </c>
      <c r="K910">
        <v>0.08</v>
      </c>
      <c r="L910">
        <v>18</v>
      </c>
      <c r="M910">
        <v>43.28</v>
      </c>
      <c r="N910">
        <v>39.817600000000006</v>
      </c>
      <c r="O910">
        <v>18</v>
      </c>
      <c r="P910">
        <v>21.817600000000006</v>
      </c>
    </row>
    <row r="911" spans="1:16" x14ac:dyDescent="0.3">
      <c r="A911" s="1">
        <v>45839</v>
      </c>
      <c r="B911" s="2" t="s">
        <v>56</v>
      </c>
      <c r="C911" s="2" t="s">
        <v>57</v>
      </c>
      <c r="D911" s="2" t="s">
        <v>41</v>
      </c>
      <c r="E911" s="2" t="s">
        <v>42</v>
      </c>
      <c r="F911" s="2" t="s">
        <v>48</v>
      </c>
      <c r="G911" s="2" t="s">
        <v>86</v>
      </c>
      <c r="H911">
        <v>2</v>
      </c>
      <c r="I911">
        <v>4</v>
      </c>
      <c r="J911">
        <v>79.44</v>
      </c>
      <c r="K911">
        <v>0</v>
      </c>
      <c r="L911">
        <v>35.5</v>
      </c>
      <c r="M911">
        <v>430.57999999999993</v>
      </c>
      <c r="N911">
        <v>430.57999999999993</v>
      </c>
      <c r="O911">
        <v>197</v>
      </c>
      <c r="P911">
        <v>233.57999999999996</v>
      </c>
    </row>
    <row r="912" spans="1:16" x14ac:dyDescent="0.3">
      <c r="A912" s="1">
        <v>45839</v>
      </c>
      <c r="B912" s="2" t="s">
        <v>56</v>
      </c>
      <c r="C912" s="2" t="s">
        <v>57</v>
      </c>
      <c r="D912" s="2" t="s">
        <v>41</v>
      </c>
      <c r="E912" s="2" t="s">
        <v>42</v>
      </c>
      <c r="F912" s="2" t="s">
        <v>52</v>
      </c>
      <c r="G912" s="2" t="s">
        <v>86</v>
      </c>
      <c r="H912">
        <v>1</v>
      </c>
      <c r="I912">
        <v>1</v>
      </c>
      <c r="J912">
        <v>214.44</v>
      </c>
      <c r="K912">
        <v>0</v>
      </c>
      <c r="L912">
        <v>124</v>
      </c>
      <c r="M912">
        <v>214.44</v>
      </c>
      <c r="N912">
        <v>214.44</v>
      </c>
      <c r="O912">
        <v>124</v>
      </c>
      <c r="P912">
        <v>90.44</v>
      </c>
    </row>
    <row r="913" spans="1:16" x14ac:dyDescent="0.3">
      <c r="A913" s="1">
        <v>45839</v>
      </c>
      <c r="B913" s="2" t="s">
        <v>75</v>
      </c>
      <c r="C913" s="2" t="s">
        <v>106</v>
      </c>
      <c r="D913" s="2" t="s">
        <v>41</v>
      </c>
      <c r="E913" s="2" t="s">
        <v>42</v>
      </c>
      <c r="F913" s="2" t="s">
        <v>43</v>
      </c>
      <c r="G913" s="2" t="s">
        <v>155</v>
      </c>
      <c r="H913">
        <v>1</v>
      </c>
      <c r="I913">
        <v>3</v>
      </c>
      <c r="J913">
        <v>623.73</v>
      </c>
      <c r="K913">
        <v>0</v>
      </c>
      <c r="L913">
        <v>395</v>
      </c>
      <c r="M913">
        <v>1871.19</v>
      </c>
      <c r="N913">
        <v>1871.19</v>
      </c>
      <c r="O913">
        <v>1185</v>
      </c>
      <c r="P913">
        <v>686.19</v>
      </c>
    </row>
    <row r="914" spans="1:16" x14ac:dyDescent="0.3">
      <c r="A914" s="1">
        <v>45839</v>
      </c>
      <c r="B914" s="2" t="s">
        <v>65</v>
      </c>
      <c r="C914" s="2" t="s">
        <v>66</v>
      </c>
      <c r="D914" s="2" t="s">
        <v>41</v>
      </c>
      <c r="E914" s="2" t="s">
        <v>42</v>
      </c>
      <c r="F914" s="2" t="s">
        <v>43</v>
      </c>
      <c r="G914" s="2" t="s">
        <v>68</v>
      </c>
      <c r="H914">
        <v>1</v>
      </c>
      <c r="I914">
        <v>1</v>
      </c>
      <c r="J914">
        <v>640.57000000000005</v>
      </c>
      <c r="K914">
        <v>0</v>
      </c>
      <c r="L914">
        <v>395</v>
      </c>
      <c r="M914">
        <v>640.57000000000005</v>
      </c>
      <c r="N914">
        <v>640.57000000000005</v>
      </c>
      <c r="O914">
        <v>395</v>
      </c>
      <c r="P914">
        <v>245.57000000000005</v>
      </c>
    </row>
    <row r="915" spans="1:16" x14ac:dyDescent="0.3">
      <c r="A915" s="1">
        <v>45839</v>
      </c>
      <c r="B915" s="2" t="s">
        <v>83</v>
      </c>
      <c r="C915" s="2" t="s">
        <v>84</v>
      </c>
      <c r="D915" s="2" t="s">
        <v>41</v>
      </c>
      <c r="E915" s="2" t="s">
        <v>42</v>
      </c>
      <c r="F915" s="2" t="s">
        <v>43</v>
      </c>
      <c r="G915" s="2" t="s">
        <v>222</v>
      </c>
      <c r="H915">
        <v>2</v>
      </c>
      <c r="I915">
        <v>5</v>
      </c>
      <c r="J915">
        <v>1148.0549999999998</v>
      </c>
      <c r="K915">
        <v>0.05</v>
      </c>
      <c r="L915">
        <v>760</v>
      </c>
      <c r="M915">
        <v>5765.01</v>
      </c>
      <c r="N915">
        <v>5413.1729999999998</v>
      </c>
      <c r="O915">
        <v>3800</v>
      </c>
      <c r="P915">
        <v>1613.1729999999998</v>
      </c>
    </row>
    <row r="916" spans="1:16" x14ac:dyDescent="0.3">
      <c r="A916" s="1">
        <v>45839</v>
      </c>
      <c r="B916" s="2" t="s">
        <v>65</v>
      </c>
      <c r="C916" s="2" t="s">
        <v>134</v>
      </c>
      <c r="D916" s="2" t="s">
        <v>41</v>
      </c>
      <c r="E916" s="2" t="s">
        <v>51</v>
      </c>
      <c r="F916" s="2" t="s">
        <v>52</v>
      </c>
      <c r="G916" s="2" t="s">
        <v>218</v>
      </c>
      <c r="H916">
        <v>1</v>
      </c>
      <c r="I916">
        <v>9</v>
      </c>
      <c r="J916">
        <v>38.479999999999997</v>
      </c>
      <c r="K916">
        <v>0.05</v>
      </c>
      <c r="L916">
        <v>18</v>
      </c>
      <c r="M916">
        <v>346.32</v>
      </c>
      <c r="N916">
        <v>329.00399999999996</v>
      </c>
      <c r="O916">
        <v>162</v>
      </c>
      <c r="P916">
        <v>167.00399999999996</v>
      </c>
    </row>
    <row r="917" spans="1:16" x14ac:dyDescent="0.3">
      <c r="A917" s="1">
        <v>45839</v>
      </c>
      <c r="B917" s="2" t="s">
        <v>65</v>
      </c>
      <c r="C917" s="2" t="s">
        <v>134</v>
      </c>
      <c r="D917" s="2" t="s">
        <v>41</v>
      </c>
      <c r="E917" s="2" t="s">
        <v>51</v>
      </c>
      <c r="F917" s="2" t="s">
        <v>43</v>
      </c>
      <c r="G917" s="2" t="s">
        <v>218</v>
      </c>
      <c r="H917">
        <v>2</v>
      </c>
      <c r="I917">
        <v>6</v>
      </c>
      <c r="J917">
        <v>184.72500000000002</v>
      </c>
      <c r="K917">
        <v>0</v>
      </c>
      <c r="L917">
        <v>118</v>
      </c>
      <c r="M917">
        <v>1108.3499999999999</v>
      </c>
      <c r="N917">
        <v>1108.3499999999999</v>
      </c>
      <c r="O917">
        <v>708</v>
      </c>
      <c r="P917">
        <v>400.35</v>
      </c>
    </row>
    <row r="918" spans="1:16" x14ac:dyDescent="0.3">
      <c r="A918" s="1">
        <v>45839</v>
      </c>
      <c r="B918" s="2" t="s">
        <v>56</v>
      </c>
      <c r="C918" s="2" t="s">
        <v>72</v>
      </c>
      <c r="D918" s="2" t="s">
        <v>95</v>
      </c>
      <c r="E918" s="2" t="s">
        <v>51</v>
      </c>
      <c r="F918" s="2" t="s">
        <v>43</v>
      </c>
      <c r="G918" s="2" t="s">
        <v>96</v>
      </c>
      <c r="H918">
        <v>1</v>
      </c>
      <c r="I918">
        <v>3</v>
      </c>
      <c r="J918">
        <v>779.48</v>
      </c>
      <c r="K918">
        <v>0.1</v>
      </c>
      <c r="L918">
        <v>520</v>
      </c>
      <c r="M918">
        <v>2338.44</v>
      </c>
      <c r="N918">
        <v>2104.596</v>
      </c>
      <c r="O918">
        <v>1560</v>
      </c>
      <c r="P918">
        <v>544.596</v>
      </c>
    </row>
    <row r="919" spans="1:16" x14ac:dyDescent="0.3">
      <c r="A919" s="1">
        <v>45839</v>
      </c>
      <c r="B919" s="2" t="s">
        <v>39</v>
      </c>
      <c r="C919" s="2" t="s">
        <v>40</v>
      </c>
      <c r="D919" s="2" t="s">
        <v>46</v>
      </c>
      <c r="E919" s="2" t="s">
        <v>51</v>
      </c>
      <c r="F919" s="2" t="s">
        <v>48</v>
      </c>
      <c r="G919" s="2" t="s">
        <v>118</v>
      </c>
      <c r="H919">
        <v>1</v>
      </c>
      <c r="I919">
        <v>18</v>
      </c>
      <c r="J919">
        <v>86.48</v>
      </c>
      <c r="K919">
        <v>0.1</v>
      </c>
      <c r="L919">
        <v>39</v>
      </c>
      <c r="M919">
        <v>1556.64</v>
      </c>
      <c r="N919">
        <v>1400.9760000000001</v>
      </c>
      <c r="O919">
        <v>702</v>
      </c>
      <c r="P919">
        <v>698.97600000000011</v>
      </c>
    </row>
    <row r="920" spans="1:16" x14ac:dyDescent="0.3">
      <c r="A920" s="1">
        <v>45839</v>
      </c>
      <c r="B920" s="2" t="s">
        <v>39</v>
      </c>
      <c r="C920" s="2" t="s">
        <v>40</v>
      </c>
      <c r="D920" s="2" t="s">
        <v>46</v>
      </c>
      <c r="E920" s="2" t="s">
        <v>51</v>
      </c>
      <c r="F920" s="2" t="s">
        <v>52</v>
      </c>
      <c r="G920" s="2" t="s">
        <v>118</v>
      </c>
      <c r="H920">
        <v>1</v>
      </c>
      <c r="I920">
        <v>12</v>
      </c>
      <c r="J920">
        <v>40.58</v>
      </c>
      <c r="K920">
        <v>0.1</v>
      </c>
      <c r="L920">
        <v>18</v>
      </c>
      <c r="M920">
        <v>486.96</v>
      </c>
      <c r="N920">
        <v>438.26400000000001</v>
      </c>
      <c r="O920">
        <v>216</v>
      </c>
      <c r="P920">
        <v>222.26400000000001</v>
      </c>
    </row>
    <row r="921" spans="1:16" x14ac:dyDescent="0.3">
      <c r="A921" s="1">
        <v>45839</v>
      </c>
      <c r="B921" s="2" t="s">
        <v>65</v>
      </c>
      <c r="C921" s="2" t="s">
        <v>134</v>
      </c>
      <c r="D921" s="2" t="s">
        <v>41</v>
      </c>
      <c r="E921" s="2" t="s">
        <v>42</v>
      </c>
      <c r="F921" s="2" t="s">
        <v>43</v>
      </c>
      <c r="G921" s="2" t="s">
        <v>227</v>
      </c>
      <c r="H921">
        <v>1</v>
      </c>
      <c r="I921">
        <v>3</v>
      </c>
      <c r="J921">
        <v>840.75</v>
      </c>
      <c r="K921">
        <v>0</v>
      </c>
      <c r="L921">
        <v>520</v>
      </c>
      <c r="M921">
        <v>2522.25</v>
      </c>
      <c r="N921">
        <v>2522.25</v>
      </c>
      <c r="O921">
        <v>1560</v>
      </c>
      <c r="P921">
        <v>962.25</v>
      </c>
    </row>
    <row r="922" spans="1:16" x14ac:dyDescent="0.3">
      <c r="A922" s="1">
        <v>45839</v>
      </c>
      <c r="B922" s="2" t="s">
        <v>39</v>
      </c>
      <c r="C922" s="2" t="s">
        <v>92</v>
      </c>
      <c r="D922" s="2" t="s">
        <v>50</v>
      </c>
      <c r="E922" s="2" t="s">
        <v>51</v>
      </c>
      <c r="F922" s="2" t="s">
        <v>43</v>
      </c>
      <c r="G922" s="2" t="s">
        <v>98</v>
      </c>
      <c r="H922">
        <v>1</v>
      </c>
      <c r="I922">
        <v>3</v>
      </c>
      <c r="J922">
        <v>773.36</v>
      </c>
      <c r="K922">
        <v>0.08</v>
      </c>
      <c r="L922">
        <v>520</v>
      </c>
      <c r="M922">
        <v>2320.08</v>
      </c>
      <c r="N922">
        <v>2134.4735999999998</v>
      </c>
      <c r="O922">
        <v>1560</v>
      </c>
      <c r="P922">
        <v>574.47359999999981</v>
      </c>
    </row>
    <row r="923" spans="1:16" x14ac:dyDescent="0.3">
      <c r="A923" s="1">
        <v>45839</v>
      </c>
      <c r="B923" s="2" t="s">
        <v>39</v>
      </c>
      <c r="C923" s="2" t="s">
        <v>40</v>
      </c>
      <c r="D923" s="2" t="s">
        <v>50</v>
      </c>
      <c r="E923" s="2" t="s">
        <v>42</v>
      </c>
      <c r="F923" s="2" t="s">
        <v>43</v>
      </c>
      <c r="G923" s="2" t="s">
        <v>124</v>
      </c>
      <c r="H923">
        <v>1</v>
      </c>
      <c r="I923">
        <v>3</v>
      </c>
      <c r="J923">
        <v>637.49</v>
      </c>
      <c r="K923">
        <v>0.08</v>
      </c>
      <c r="L923">
        <v>395</v>
      </c>
      <c r="M923">
        <v>1912.47</v>
      </c>
      <c r="N923">
        <v>1759.4724000000001</v>
      </c>
      <c r="O923">
        <v>1185</v>
      </c>
      <c r="P923">
        <v>574.47240000000011</v>
      </c>
    </row>
    <row r="924" spans="1:16" x14ac:dyDescent="0.3">
      <c r="A924" s="1">
        <v>45839</v>
      </c>
      <c r="B924" s="2" t="s">
        <v>39</v>
      </c>
      <c r="C924" s="2" t="s">
        <v>54</v>
      </c>
      <c r="D924" s="2" t="s">
        <v>41</v>
      </c>
      <c r="E924" s="2" t="s">
        <v>42</v>
      </c>
      <c r="F924" s="2" t="s">
        <v>43</v>
      </c>
      <c r="G924" s="2" t="s">
        <v>171</v>
      </c>
      <c r="H924">
        <v>2</v>
      </c>
      <c r="I924">
        <v>4</v>
      </c>
      <c r="J924">
        <v>717.97</v>
      </c>
      <c r="K924">
        <v>0</v>
      </c>
      <c r="L924">
        <v>457.5</v>
      </c>
      <c r="M924">
        <v>2671.06</v>
      </c>
      <c r="N924">
        <v>2671.06</v>
      </c>
      <c r="O924">
        <v>1705</v>
      </c>
      <c r="P924">
        <v>966.05999999999983</v>
      </c>
    </row>
    <row r="925" spans="1:16" x14ac:dyDescent="0.3">
      <c r="A925" s="1">
        <v>45839</v>
      </c>
      <c r="B925" s="2" t="s">
        <v>39</v>
      </c>
      <c r="C925" s="2" t="s">
        <v>92</v>
      </c>
      <c r="D925" s="2" t="s">
        <v>50</v>
      </c>
      <c r="E925" s="2" t="s">
        <v>42</v>
      </c>
      <c r="F925" s="2" t="s">
        <v>48</v>
      </c>
      <c r="G925" s="2" t="s">
        <v>146</v>
      </c>
      <c r="H925">
        <v>1</v>
      </c>
      <c r="I925">
        <v>1</v>
      </c>
      <c r="J925">
        <v>134.12</v>
      </c>
      <c r="K925">
        <v>0</v>
      </c>
      <c r="L925">
        <v>63</v>
      </c>
      <c r="M925">
        <v>134.12</v>
      </c>
      <c r="N925">
        <v>134.12</v>
      </c>
      <c r="O925">
        <v>63</v>
      </c>
      <c r="P925">
        <v>71.12</v>
      </c>
    </row>
    <row r="926" spans="1:16" x14ac:dyDescent="0.3">
      <c r="A926" s="1">
        <v>45839</v>
      </c>
      <c r="B926" s="2" t="s">
        <v>39</v>
      </c>
      <c r="C926" s="2" t="s">
        <v>54</v>
      </c>
      <c r="D926" s="2" t="s">
        <v>41</v>
      </c>
      <c r="E926" s="2" t="s">
        <v>47</v>
      </c>
      <c r="F926" s="2" t="s">
        <v>48</v>
      </c>
      <c r="G926" s="2" t="s">
        <v>55</v>
      </c>
      <c r="H926">
        <v>1</v>
      </c>
      <c r="I926">
        <v>4</v>
      </c>
      <c r="J926">
        <v>140.1</v>
      </c>
      <c r="K926">
        <v>0</v>
      </c>
      <c r="L926">
        <v>63</v>
      </c>
      <c r="M926">
        <v>560.4</v>
      </c>
      <c r="N926">
        <v>560.4</v>
      </c>
      <c r="O926">
        <v>252</v>
      </c>
      <c r="P926">
        <v>308.39999999999998</v>
      </c>
    </row>
    <row r="927" spans="1:16" x14ac:dyDescent="0.3">
      <c r="A927" s="1">
        <v>45839</v>
      </c>
      <c r="B927" s="2" t="s">
        <v>56</v>
      </c>
      <c r="C927" s="2" t="s">
        <v>57</v>
      </c>
      <c r="D927" s="2" t="s">
        <v>50</v>
      </c>
      <c r="E927" s="2" t="s">
        <v>42</v>
      </c>
      <c r="F927" s="2" t="s">
        <v>43</v>
      </c>
      <c r="G927" s="2" t="s">
        <v>60</v>
      </c>
      <c r="H927">
        <v>1</v>
      </c>
      <c r="I927">
        <v>1</v>
      </c>
      <c r="J927">
        <v>287.48</v>
      </c>
      <c r="K927">
        <v>0.08</v>
      </c>
      <c r="L927">
        <v>182</v>
      </c>
      <c r="M927">
        <v>287.48</v>
      </c>
      <c r="N927">
        <v>264.48160000000001</v>
      </c>
      <c r="O927">
        <v>182</v>
      </c>
      <c r="P927">
        <v>82.481600000000014</v>
      </c>
    </row>
    <row r="928" spans="1:16" x14ac:dyDescent="0.3">
      <c r="A928" s="1">
        <v>45839</v>
      </c>
      <c r="B928" s="2" t="s">
        <v>39</v>
      </c>
      <c r="C928" s="2" t="s">
        <v>92</v>
      </c>
      <c r="D928" s="2" t="s">
        <v>41</v>
      </c>
      <c r="E928" s="2" t="s">
        <v>51</v>
      </c>
      <c r="F928" s="2" t="s">
        <v>48</v>
      </c>
      <c r="G928" s="2" t="s">
        <v>187</v>
      </c>
      <c r="H928">
        <v>1</v>
      </c>
      <c r="I928">
        <v>11</v>
      </c>
      <c r="J928">
        <v>125.01</v>
      </c>
      <c r="K928">
        <v>0</v>
      </c>
      <c r="L928">
        <v>63</v>
      </c>
      <c r="M928">
        <v>1375.1100000000001</v>
      </c>
      <c r="N928">
        <v>1375.1100000000001</v>
      </c>
      <c r="O928">
        <v>693</v>
      </c>
      <c r="P928">
        <v>682.11000000000013</v>
      </c>
    </row>
    <row r="929" spans="1:16" x14ac:dyDescent="0.3">
      <c r="A929" s="1">
        <v>45839</v>
      </c>
      <c r="B929" s="2" t="s">
        <v>39</v>
      </c>
      <c r="C929" s="2" t="s">
        <v>92</v>
      </c>
      <c r="D929" s="2" t="s">
        <v>41</v>
      </c>
      <c r="E929" s="2" t="s">
        <v>51</v>
      </c>
      <c r="F929" s="2" t="s">
        <v>43</v>
      </c>
      <c r="G929" s="2" t="s">
        <v>187</v>
      </c>
      <c r="H929">
        <v>1</v>
      </c>
      <c r="I929">
        <v>13</v>
      </c>
      <c r="J929">
        <v>100.41</v>
      </c>
      <c r="K929">
        <v>0</v>
      </c>
      <c r="L929">
        <v>54</v>
      </c>
      <c r="M929">
        <v>1305.33</v>
      </c>
      <c r="N929">
        <v>1305.33</v>
      </c>
      <c r="O929">
        <v>702</v>
      </c>
      <c r="P929">
        <v>603.32999999999993</v>
      </c>
    </row>
    <row r="930" spans="1:16" x14ac:dyDescent="0.3">
      <c r="A930" s="1">
        <v>45839</v>
      </c>
      <c r="B930" s="2" t="s">
        <v>39</v>
      </c>
      <c r="C930" s="2" t="s">
        <v>152</v>
      </c>
      <c r="D930" s="2" t="s">
        <v>41</v>
      </c>
      <c r="E930" s="2" t="s">
        <v>42</v>
      </c>
      <c r="F930" s="2" t="s">
        <v>52</v>
      </c>
      <c r="G930" s="2" t="s">
        <v>153</v>
      </c>
      <c r="H930">
        <v>1</v>
      </c>
      <c r="I930">
        <v>3</v>
      </c>
      <c r="J930">
        <v>41.87</v>
      </c>
      <c r="K930">
        <v>0.1</v>
      </c>
      <c r="L930">
        <v>18</v>
      </c>
      <c r="M930">
        <v>125.60999999999999</v>
      </c>
      <c r="N930">
        <v>113.04899999999999</v>
      </c>
      <c r="O930">
        <v>54</v>
      </c>
      <c r="P930">
        <v>59.048999999999992</v>
      </c>
    </row>
    <row r="931" spans="1:16" x14ac:dyDescent="0.3">
      <c r="A931" s="1">
        <v>45839</v>
      </c>
      <c r="B931" s="2" t="s">
        <v>56</v>
      </c>
      <c r="C931" s="2" t="s">
        <v>72</v>
      </c>
      <c r="D931" s="2" t="s">
        <v>41</v>
      </c>
      <c r="E931" s="2" t="s">
        <v>47</v>
      </c>
      <c r="F931" s="2" t="s">
        <v>52</v>
      </c>
      <c r="G931" s="2" t="s">
        <v>179</v>
      </c>
      <c r="H931">
        <v>1</v>
      </c>
      <c r="I931">
        <v>1</v>
      </c>
      <c r="J931">
        <v>45.02</v>
      </c>
      <c r="K931">
        <v>0</v>
      </c>
      <c r="L931">
        <v>18</v>
      </c>
      <c r="M931">
        <v>45.02</v>
      </c>
      <c r="N931">
        <v>45.02</v>
      </c>
      <c r="O931">
        <v>18</v>
      </c>
      <c r="P931">
        <v>27.020000000000003</v>
      </c>
    </row>
    <row r="932" spans="1:16" x14ac:dyDescent="0.3">
      <c r="A932" s="1">
        <v>45839</v>
      </c>
      <c r="B932" s="2" t="s">
        <v>56</v>
      </c>
      <c r="C932" s="2" t="s">
        <v>57</v>
      </c>
      <c r="D932" s="2" t="s">
        <v>41</v>
      </c>
      <c r="E932" s="2" t="s">
        <v>47</v>
      </c>
      <c r="F932" s="2" t="s">
        <v>48</v>
      </c>
      <c r="G932" s="2" t="s">
        <v>86</v>
      </c>
      <c r="H932">
        <v>1</v>
      </c>
      <c r="I932">
        <v>1</v>
      </c>
      <c r="J932">
        <v>142.61000000000001</v>
      </c>
      <c r="K932">
        <v>0</v>
      </c>
      <c r="L932">
        <v>63</v>
      </c>
      <c r="M932">
        <v>142.61000000000001</v>
      </c>
      <c r="N932">
        <v>142.61000000000001</v>
      </c>
      <c r="O932">
        <v>63</v>
      </c>
      <c r="P932">
        <v>79.610000000000014</v>
      </c>
    </row>
    <row r="933" spans="1:16" x14ac:dyDescent="0.3">
      <c r="A933" s="1">
        <v>45839</v>
      </c>
      <c r="B933" s="2" t="s">
        <v>39</v>
      </c>
      <c r="C933" s="2" t="s">
        <v>40</v>
      </c>
      <c r="D933" s="2" t="s">
        <v>50</v>
      </c>
      <c r="E933" s="2" t="s">
        <v>47</v>
      </c>
      <c r="F933" s="2" t="s">
        <v>52</v>
      </c>
      <c r="G933" s="2" t="s">
        <v>214</v>
      </c>
      <c r="H933">
        <v>2</v>
      </c>
      <c r="I933">
        <v>7</v>
      </c>
      <c r="J933">
        <v>133.57</v>
      </c>
      <c r="K933">
        <v>6.5000000000000002E-2</v>
      </c>
      <c r="L933">
        <v>71</v>
      </c>
      <c r="M933">
        <v>845.93</v>
      </c>
      <c r="N933">
        <v>783.59680000000003</v>
      </c>
      <c r="O933">
        <v>444</v>
      </c>
      <c r="P933">
        <v>339.59679999999997</v>
      </c>
    </row>
    <row r="934" spans="1:16" x14ac:dyDescent="0.3">
      <c r="A934" s="1">
        <v>45839</v>
      </c>
      <c r="B934" s="2" t="s">
        <v>39</v>
      </c>
      <c r="C934" s="2" t="s">
        <v>40</v>
      </c>
      <c r="D934" s="2" t="s">
        <v>50</v>
      </c>
      <c r="E934" s="2" t="s">
        <v>47</v>
      </c>
      <c r="F934" s="2" t="s">
        <v>48</v>
      </c>
      <c r="G934" s="2" t="s">
        <v>214</v>
      </c>
      <c r="H934">
        <v>1</v>
      </c>
      <c r="I934">
        <v>3</v>
      </c>
      <c r="J934">
        <v>74.66</v>
      </c>
      <c r="K934">
        <v>0.08</v>
      </c>
      <c r="L934">
        <v>31</v>
      </c>
      <c r="M934">
        <v>223.98</v>
      </c>
      <c r="N934">
        <v>206.0616</v>
      </c>
      <c r="O934">
        <v>93</v>
      </c>
      <c r="P934">
        <v>113.0616</v>
      </c>
    </row>
    <row r="935" spans="1:16" x14ac:dyDescent="0.3">
      <c r="A935" s="1">
        <v>45839</v>
      </c>
      <c r="B935" s="2" t="s">
        <v>39</v>
      </c>
      <c r="C935" s="2" t="s">
        <v>54</v>
      </c>
      <c r="D935" s="2" t="s">
        <v>41</v>
      </c>
      <c r="E935" s="2" t="s">
        <v>42</v>
      </c>
      <c r="F935" s="2" t="s">
        <v>48</v>
      </c>
      <c r="G935" s="2" t="s">
        <v>138</v>
      </c>
      <c r="H935">
        <v>1</v>
      </c>
      <c r="I935">
        <v>4</v>
      </c>
      <c r="J935">
        <v>23.3</v>
      </c>
      <c r="K935">
        <v>0</v>
      </c>
      <c r="L935">
        <v>8</v>
      </c>
      <c r="M935">
        <v>93.2</v>
      </c>
      <c r="N935">
        <v>93.2</v>
      </c>
      <c r="O935">
        <v>32</v>
      </c>
      <c r="P935">
        <v>61.2</v>
      </c>
    </row>
    <row r="936" spans="1:16" x14ac:dyDescent="0.3">
      <c r="A936" s="1">
        <v>45839</v>
      </c>
      <c r="B936" s="2" t="s">
        <v>39</v>
      </c>
      <c r="C936" s="2" t="s">
        <v>92</v>
      </c>
      <c r="D936" s="2" t="s">
        <v>50</v>
      </c>
      <c r="E936" s="2" t="s">
        <v>47</v>
      </c>
      <c r="F936" s="2" t="s">
        <v>52</v>
      </c>
      <c r="G936" s="2" t="s">
        <v>97</v>
      </c>
      <c r="H936">
        <v>1</v>
      </c>
      <c r="I936">
        <v>3</v>
      </c>
      <c r="J936">
        <v>43.69</v>
      </c>
      <c r="K936">
        <v>0.12</v>
      </c>
      <c r="L936">
        <v>18</v>
      </c>
      <c r="M936">
        <v>131.07</v>
      </c>
      <c r="N936">
        <v>115.3416</v>
      </c>
      <c r="O936">
        <v>54</v>
      </c>
      <c r="P936">
        <v>61.3416</v>
      </c>
    </row>
    <row r="937" spans="1:16" x14ac:dyDescent="0.3">
      <c r="A937" s="1">
        <v>45839</v>
      </c>
      <c r="B937" s="2" t="s">
        <v>39</v>
      </c>
      <c r="C937" s="2" t="s">
        <v>78</v>
      </c>
      <c r="D937" s="2" t="s">
        <v>41</v>
      </c>
      <c r="E937" s="2" t="s">
        <v>42</v>
      </c>
      <c r="F937" s="2" t="s">
        <v>48</v>
      </c>
      <c r="G937" s="2" t="s">
        <v>119</v>
      </c>
      <c r="H937">
        <v>1</v>
      </c>
      <c r="I937">
        <v>2</v>
      </c>
      <c r="J937">
        <v>74.180000000000007</v>
      </c>
      <c r="K937">
        <v>0</v>
      </c>
      <c r="L937">
        <v>31</v>
      </c>
      <c r="M937">
        <v>148.36000000000001</v>
      </c>
      <c r="N937">
        <v>148.36000000000001</v>
      </c>
      <c r="O937">
        <v>62</v>
      </c>
      <c r="P937">
        <v>86.360000000000014</v>
      </c>
    </row>
    <row r="938" spans="1:16" x14ac:dyDescent="0.3">
      <c r="A938" s="1">
        <v>45839</v>
      </c>
      <c r="B938" s="2" t="s">
        <v>56</v>
      </c>
      <c r="C938" s="2" t="s">
        <v>57</v>
      </c>
      <c r="D938" s="2" t="s">
        <v>50</v>
      </c>
      <c r="E938" s="2" t="s">
        <v>51</v>
      </c>
      <c r="F938" s="2" t="s">
        <v>48</v>
      </c>
      <c r="G938" s="2" t="s">
        <v>147</v>
      </c>
      <c r="H938">
        <v>2</v>
      </c>
      <c r="I938">
        <v>18</v>
      </c>
      <c r="J938">
        <v>67.64</v>
      </c>
      <c r="K938">
        <v>0.12</v>
      </c>
      <c r="L938">
        <v>31</v>
      </c>
      <c r="M938">
        <v>1217.52</v>
      </c>
      <c r="N938">
        <v>1071.4176</v>
      </c>
      <c r="O938">
        <v>558</v>
      </c>
      <c r="P938">
        <v>513.41759999999999</v>
      </c>
    </row>
    <row r="939" spans="1:16" x14ac:dyDescent="0.3">
      <c r="A939" s="1">
        <v>45839</v>
      </c>
      <c r="B939" s="2" t="s">
        <v>39</v>
      </c>
      <c r="C939" s="2" t="s">
        <v>40</v>
      </c>
      <c r="D939" s="2" t="s">
        <v>41</v>
      </c>
      <c r="E939" s="2" t="s">
        <v>51</v>
      </c>
      <c r="F939" s="2" t="s">
        <v>48</v>
      </c>
      <c r="G939" s="2" t="s">
        <v>144</v>
      </c>
      <c r="H939">
        <v>1</v>
      </c>
      <c r="I939">
        <v>17</v>
      </c>
      <c r="J939">
        <v>63.8</v>
      </c>
      <c r="K939">
        <v>0</v>
      </c>
      <c r="L939">
        <v>31</v>
      </c>
      <c r="M939">
        <v>1084.5999999999999</v>
      </c>
      <c r="N939">
        <v>1084.5999999999999</v>
      </c>
      <c r="O939">
        <v>527</v>
      </c>
      <c r="P939">
        <v>557.59999999999991</v>
      </c>
    </row>
    <row r="940" spans="1:16" x14ac:dyDescent="0.3">
      <c r="A940" s="1">
        <v>45839</v>
      </c>
      <c r="B940" s="2" t="s">
        <v>39</v>
      </c>
      <c r="C940" s="2" t="s">
        <v>92</v>
      </c>
      <c r="D940" s="2" t="s">
        <v>50</v>
      </c>
      <c r="E940" s="2" t="s">
        <v>51</v>
      </c>
      <c r="F940" s="2" t="s">
        <v>43</v>
      </c>
      <c r="G940" s="2" t="s">
        <v>97</v>
      </c>
      <c r="H940">
        <v>1</v>
      </c>
      <c r="I940">
        <v>11</v>
      </c>
      <c r="J940">
        <v>94.93</v>
      </c>
      <c r="K940">
        <v>0.05</v>
      </c>
      <c r="L940">
        <v>54</v>
      </c>
      <c r="M940">
        <v>1044.23</v>
      </c>
      <c r="N940">
        <v>992.01850000000002</v>
      </c>
      <c r="O940">
        <v>594</v>
      </c>
      <c r="P940">
        <v>398.01850000000002</v>
      </c>
    </row>
    <row r="941" spans="1:16" x14ac:dyDescent="0.3">
      <c r="A941" s="1">
        <v>45839</v>
      </c>
      <c r="B941" s="2" t="s">
        <v>39</v>
      </c>
      <c r="C941" s="2" t="s">
        <v>92</v>
      </c>
      <c r="D941" s="2" t="s">
        <v>50</v>
      </c>
      <c r="E941" s="2" t="s">
        <v>51</v>
      </c>
      <c r="F941" s="2" t="s">
        <v>52</v>
      </c>
      <c r="G941" s="2" t="s">
        <v>97</v>
      </c>
      <c r="H941">
        <v>1</v>
      </c>
      <c r="I941">
        <v>4</v>
      </c>
      <c r="J941">
        <v>199.34</v>
      </c>
      <c r="K941">
        <v>0.1</v>
      </c>
      <c r="L941">
        <v>124</v>
      </c>
      <c r="M941">
        <v>797.36</v>
      </c>
      <c r="N941">
        <v>717.62400000000002</v>
      </c>
      <c r="O941">
        <v>496</v>
      </c>
      <c r="P941">
        <v>221.62400000000002</v>
      </c>
    </row>
    <row r="942" spans="1:16" x14ac:dyDescent="0.3">
      <c r="A942" s="1">
        <v>45839</v>
      </c>
      <c r="B942" s="2" t="s">
        <v>65</v>
      </c>
      <c r="C942" s="2" t="s">
        <v>80</v>
      </c>
      <c r="D942" s="2" t="s">
        <v>50</v>
      </c>
      <c r="E942" s="2" t="s">
        <v>47</v>
      </c>
      <c r="F942" s="2" t="s">
        <v>43</v>
      </c>
      <c r="G942" s="2" t="s">
        <v>233</v>
      </c>
      <c r="H942">
        <v>1</v>
      </c>
      <c r="I942">
        <v>2</v>
      </c>
      <c r="J942">
        <v>629.99</v>
      </c>
      <c r="K942">
        <v>0.1</v>
      </c>
      <c r="L942">
        <v>395</v>
      </c>
      <c r="M942">
        <v>1259.98</v>
      </c>
      <c r="N942">
        <v>1133.982</v>
      </c>
      <c r="O942">
        <v>790</v>
      </c>
      <c r="P942">
        <v>343.98199999999997</v>
      </c>
    </row>
    <row r="943" spans="1:16" x14ac:dyDescent="0.3">
      <c r="A943" s="1">
        <v>45839</v>
      </c>
      <c r="B943" s="2" t="s">
        <v>65</v>
      </c>
      <c r="C943" s="2" t="s">
        <v>80</v>
      </c>
      <c r="D943" s="2" t="s">
        <v>50</v>
      </c>
      <c r="E943" s="2" t="s">
        <v>47</v>
      </c>
      <c r="F943" s="2" t="s">
        <v>52</v>
      </c>
      <c r="G943" s="2" t="s">
        <v>233</v>
      </c>
      <c r="H943">
        <v>1</v>
      </c>
      <c r="I943">
        <v>2</v>
      </c>
      <c r="J943">
        <v>212.19</v>
      </c>
      <c r="K943">
        <v>0.05</v>
      </c>
      <c r="L943">
        <v>124</v>
      </c>
      <c r="M943">
        <v>424.38</v>
      </c>
      <c r="N943">
        <v>403.161</v>
      </c>
      <c r="O943">
        <v>248</v>
      </c>
      <c r="P943">
        <v>155.161</v>
      </c>
    </row>
    <row r="944" spans="1:16" x14ac:dyDescent="0.3">
      <c r="A944" s="1">
        <v>45992</v>
      </c>
      <c r="B944" s="2" t="s">
        <v>56</v>
      </c>
      <c r="C944" s="2" t="s">
        <v>62</v>
      </c>
      <c r="D944" s="2" t="s">
        <v>41</v>
      </c>
      <c r="E944" s="2" t="s">
        <v>51</v>
      </c>
      <c r="F944" s="2" t="s">
        <v>52</v>
      </c>
      <c r="G944" s="2" t="s">
        <v>161</v>
      </c>
      <c r="H944">
        <v>1</v>
      </c>
      <c r="I944">
        <v>13</v>
      </c>
      <c r="J944">
        <v>39.26</v>
      </c>
      <c r="K944">
        <v>0</v>
      </c>
      <c r="L944">
        <v>18</v>
      </c>
      <c r="M944">
        <v>510.38</v>
      </c>
      <c r="N944">
        <v>510.38</v>
      </c>
      <c r="O944">
        <v>234</v>
      </c>
      <c r="P944">
        <v>276.38</v>
      </c>
    </row>
    <row r="945" spans="1:16" x14ac:dyDescent="0.3">
      <c r="A945" s="1">
        <v>45992</v>
      </c>
      <c r="B945" s="2" t="s">
        <v>56</v>
      </c>
      <c r="C945" s="2" t="s">
        <v>62</v>
      </c>
      <c r="D945" s="2" t="s">
        <v>41</v>
      </c>
      <c r="E945" s="2" t="s">
        <v>51</v>
      </c>
      <c r="F945" s="2" t="s">
        <v>43</v>
      </c>
      <c r="G945" s="2" t="s">
        <v>161</v>
      </c>
      <c r="H945">
        <v>1</v>
      </c>
      <c r="I945">
        <v>8</v>
      </c>
      <c r="J945">
        <v>99.88</v>
      </c>
      <c r="K945">
        <v>0.1</v>
      </c>
      <c r="L945">
        <v>54</v>
      </c>
      <c r="M945">
        <v>799.04</v>
      </c>
      <c r="N945">
        <v>719.13599999999997</v>
      </c>
      <c r="O945">
        <v>432</v>
      </c>
      <c r="P945">
        <v>287.13599999999997</v>
      </c>
    </row>
    <row r="946" spans="1:16" x14ac:dyDescent="0.3">
      <c r="A946" s="1">
        <v>45839</v>
      </c>
      <c r="B946" s="2" t="s">
        <v>39</v>
      </c>
      <c r="C946" s="2" t="s">
        <v>78</v>
      </c>
      <c r="D946" s="2" t="s">
        <v>41</v>
      </c>
      <c r="E946" s="2" t="s">
        <v>47</v>
      </c>
      <c r="F946" s="2" t="s">
        <v>43</v>
      </c>
      <c r="G946" s="2" t="s">
        <v>123</v>
      </c>
      <c r="H946">
        <v>1</v>
      </c>
      <c r="I946">
        <v>1</v>
      </c>
      <c r="J946">
        <v>180.82</v>
      </c>
      <c r="K946">
        <v>0</v>
      </c>
      <c r="L946">
        <v>86</v>
      </c>
      <c r="M946">
        <v>180.82</v>
      </c>
      <c r="N946">
        <v>180.82</v>
      </c>
      <c r="O946">
        <v>86</v>
      </c>
      <c r="P946">
        <v>94.82</v>
      </c>
    </row>
    <row r="947" spans="1:16" x14ac:dyDescent="0.3">
      <c r="A947" s="1">
        <v>45839</v>
      </c>
      <c r="B947" s="2" t="s">
        <v>39</v>
      </c>
      <c r="C947" s="2" t="s">
        <v>40</v>
      </c>
      <c r="D947" s="2" t="s">
        <v>46</v>
      </c>
      <c r="E947" s="2" t="s">
        <v>42</v>
      </c>
      <c r="F947" s="2" t="s">
        <v>43</v>
      </c>
      <c r="G947" s="2" t="s">
        <v>167</v>
      </c>
      <c r="H947">
        <v>1</v>
      </c>
      <c r="I947">
        <v>1</v>
      </c>
      <c r="J947">
        <v>102.53</v>
      </c>
      <c r="K947">
        <v>0.12</v>
      </c>
      <c r="L947">
        <v>54</v>
      </c>
      <c r="M947">
        <v>102.53</v>
      </c>
      <c r="N947">
        <v>90.226399999999998</v>
      </c>
      <c r="O947">
        <v>54</v>
      </c>
      <c r="P947">
        <v>36.226399999999998</v>
      </c>
    </row>
    <row r="948" spans="1:16" x14ac:dyDescent="0.3">
      <c r="A948" s="1">
        <v>45839</v>
      </c>
      <c r="B948" s="2" t="s">
        <v>39</v>
      </c>
      <c r="C948" s="2" t="s">
        <v>40</v>
      </c>
      <c r="D948" s="2" t="s">
        <v>46</v>
      </c>
      <c r="E948" s="2" t="s">
        <v>42</v>
      </c>
      <c r="F948" s="2" t="s">
        <v>43</v>
      </c>
      <c r="G948" s="2" t="s">
        <v>118</v>
      </c>
      <c r="H948">
        <v>1</v>
      </c>
      <c r="I948">
        <v>1</v>
      </c>
      <c r="J948">
        <v>635.61</v>
      </c>
      <c r="K948">
        <v>0.1</v>
      </c>
      <c r="L948">
        <v>395</v>
      </c>
      <c r="M948">
        <v>635.61</v>
      </c>
      <c r="N948">
        <v>572.04899999999998</v>
      </c>
      <c r="O948">
        <v>395</v>
      </c>
      <c r="P948">
        <v>177.04899999999998</v>
      </c>
    </row>
    <row r="949" spans="1:16" x14ac:dyDescent="0.3">
      <c r="A949" s="1">
        <v>45839</v>
      </c>
      <c r="B949" s="2" t="s">
        <v>39</v>
      </c>
      <c r="C949" s="2" t="s">
        <v>40</v>
      </c>
      <c r="D949" s="2" t="s">
        <v>50</v>
      </c>
      <c r="E949" s="2" t="s">
        <v>42</v>
      </c>
      <c r="F949" s="2" t="s">
        <v>52</v>
      </c>
      <c r="G949" s="2" t="s">
        <v>114</v>
      </c>
      <c r="H949">
        <v>1</v>
      </c>
      <c r="I949">
        <v>1</v>
      </c>
      <c r="J949">
        <v>211.73</v>
      </c>
      <c r="K949">
        <v>0.08</v>
      </c>
      <c r="L949">
        <v>124</v>
      </c>
      <c r="M949">
        <v>211.73</v>
      </c>
      <c r="N949">
        <v>194.79159999999999</v>
      </c>
      <c r="O949">
        <v>124</v>
      </c>
      <c r="P949">
        <v>70.791599999999988</v>
      </c>
    </row>
    <row r="950" spans="1:16" x14ac:dyDescent="0.3">
      <c r="A950" s="1">
        <v>45839</v>
      </c>
      <c r="B950" s="2" t="s">
        <v>83</v>
      </c>
      <c r="C950" s="2" t="s">
        <v>84</v>
      </c>
      <c r="D950" s="2" t="s">
        <v>41</v>
      </c>
      <c r="E950" s="2" t="s">
        <v>47</v>
      </c>
      <c r="F950" s="2" t="s">
        <v>43</v>
      </c>
      <c r="G950" s="2" t="s">
        <v>85</v>
      </c>
      <c r="H950">
        <v>1</v>
      </c>
      <c r="I950">
        <v>4</v>
      </c>
      <c r="J950">
        <v>649.67999999999995</v>
      </c>
      <c r="K950">
        <v>0</v>
      </c>
      <c r="L950">
        <v>395</v>
      </c>
      <c r="M950">
        <v>2598.7199999999998</v>
      </c>
      <c r="N950">
        <v>2598.7199999999998</v>
      </c>
      <c r="O950">
        <v>1580</v>
      </c>
      <c r="P950">
        <v>1018.7199999999998</v>
      </c>
    </row>
    <row r="951" spans="1:16" x14ac:dyDescent="0.3">
      <c r="A951" s="1">
        <v>45839</v>
      </c>
      <c r="B951" s="2" t="s">
        <v>39</v>
      </c>
      <c r="C951" s="2" t="s">
        <v>40</v>
      </c>
      <c r="D951" s="2" t="s">
        <v>46</v>
      </c>
      <c r="E951" s="2" t="s">
        <v>47</v>
      </c>
      <c r="F951" s="2" t="s">
        <v>43</v>
      </c>
      <c r="G951" s="2" t="s">
        <v>99</v>
      </c>
      <c r="H951">
        <v>1</v>
      </c>
      <c r="I951">
        <v>2</v>
      </c>
      <c r="J951">
        <v>1195.5</v>
      </c>
      <c r="K951">
        <v>0.1</v>
      </c>
      <c r="L951">
        <v>760</v>
      </c>
      <c r="M951">
        <v>2391</v>
      </c>
      <c r="N951">
        <v>2151.9</v>
      </c>
      <c r="O951">
        <v>1520</v>
      </c>
      <c r="P951">
        <v>631.90000000000009</v>
      </c>
    </row>
    <row r="952" spans="1:16" x14ac:dyDescent="0.3">
      <c r="A952" s="1">
        <v>45839</v>
      </c>
      <c r="B952" s="2" t="s">
        <v>39</v>
      </c>
      <c r="C952" s="2" t="s">
        <v>88</v>
      </c>
      <c r="D952" s="2" t="s">
        <v>50</v>
      </c>
      <c r="E952" s="2" t="s">
        <v>42</v>
      </c>
      <c r="F952" s="2" t="s">
        <v>43</v>
      </c>
      <c r="G952" s="2" t="s">
        <v>125</v>
      </c>
      <c r="H952">
        <v>1</v>
      </c>
      <c r="I952">
        <v>2</v>
      </c>
      <c r="J952">
        <v>288.27999999999997</v>
      </c>
      <c r="K952">
        <v>0.08</v>
      </c>
      <c r="L952">
        <v>182</v>
      </c>
      <c r="M952">
        <v>576.55999999999995</v>
      </c>
      <c r="N952">
        <v>530.43520000000001</v>
      </c>
      <c r="O952">
        <v>364</v>
      </c>
      <c r="P952">
        <v>166.43520000000001</v>
      </c>
    </row>
    <row r="953" spans="1:16" x14ac:dyDescent="0.3">
      <c r="A953" s="1">
        <v>45839</v>
      </c>
      <c r="B953" s="2" t="s">
        <v>39</v>
      </c>
      <c r="C953" s="2" t="s">
        <v>88</v>
      </c>
      <c r="D953" s="2" t="s">
        <v>50</v>
      </c>
      <c r="E953" s="2" t="s">
        <v>42</v>
      </c>
      <c r="F953" s="2" t="s">
        <v>48</v>
      </c>
      <c r="G953" s="2" t="s">
        <v>125</v>
      </c>
      <c r="H953">
        <v>1</v>
      </c>
      <c r="I953">
        <v>1</v>
      </c>
      <c r="J953">
        <v>138.99</v>
      </c>
      <c r="K953">
        <v>0.05</v>
      </c>
      <c r="L953">
        <v>63</v>
      </c>
      <c r="M953">
        <v>138.99</v>
      </c>
      <c r="N953">
        <v>132.04050000000001</v>
      </c>
      <c r="O953">
        <v>63</v>
      </c>
      <c r="P953">
        <v>69.040500000000009</v>
      </c>
    </row>
    <row r="954" spans="1:16" x14ac:dyDescent="0.3">
      <c r="A954" s="1">
        <v>45839</v>
      </c>
      <c r="B954" s="2" t="s">
        <v>39</v>
      </c>
      <c r="C954" s="2" t="s">
        <v>92</v>
      </c>
      <c r="D954" s="2" t="s">
        <v>46</v>
      </c>
      <c r="E954" s="2" t="s">
        <v>42</v>
      </c>
      <c r="F954" s="2" t="s">
        <v>48</v>
      </c>
      <c r="G954" s="2" t="s">
        <v>166</v>
      </c>
      <c r="H954">
        <v>4</v>
      </c>
      <c r="I954">
        <v>15</v>
      </c>
      <c r="J954">
        <v>61.222499999999997</v>
      </c>
      <c r="K954">
        <v>0.1</v>
      </c>
      <c r="L954">
        <v>25.25</v>
      </c>
      <c r="M954">
        <v>955.39</v>
      </c>
      <c r="N954">
        <v>859.85100000000011</v>
      </c>
      <c r="O954">
        <v>396</v>
      </c>
      <c r="P954">
        <v>463.85100000000011</v>
      </c>
    </row>
    <row r="955" spans="1:16" x14ac:dyDescent="0.3">
      <c r="A955" s="1">
        <v>45839</v>
      </c>
      <c r="B955" s="2" t="s">
        <v>39</v>
      </c>
      <c r="C955" s="2" t="s">
        <v>40</v>
      </c>
      <c r="D955" s="2" t="s">
        <v>46</v>
      </c>
      <c r="E955" s="2" t="s">
        <v>42</v>
      </c>
      <c r="F955" s="2" t="s">
        <v>43</v>
      </c>
      <c r="G955" s="2" t="s">
        <v>141</v>
      </c>
      <c r="H955">
        <v>1</v>
      </c>
      <c r="I955">
        <v>3</v>
      </c>
      <c r="J955">
        <v>811.33</v>
      </c>
      <c r="K955">
        <v>0.05</v>
      </c>
      <c r="L955">
        <v>520</v>
      </c>
      <c r="M955">
        <v>2433.9900000000002</v>
      </c>
      <c r="N955">
        <v>2312.2905000000001</v>
      </c>
      <c r="O955">
        <v>1560</v>
      </c>
      <c r="P955">
        <v>752.29050000000007</v>
      </c>
    </row>
    <row r="956" spans="1:16" x14ac:dyDescent="0.3">
      <c r="A956" s="1">
        <v>45839</v>
      </c>
      <c r="B956" s="2" t="s">
        <v>39</v>
      </c>
      <c r="C956" s="2" t="s">
        <v>54</v>
      </c>
      <c r="D956" s="2" t="s">
        <v>41</v>
      </c>
      <c r="E956" s="2" t="s">
        <v>42</v>
      </c>
      <c r="F956" s="2" t="s">
        <v>48</v>
      </c>
      <c r="G956" s="2" t="s">
        <v>131</v>
      </c>
      <c r="H956">
        <v>1</v>
      </c>
      <c r="I956">
        <v>2</v>
      </c>
      <c r="J956">
        <v>73.48</v>
      </c>
      <c r="K956">
        <v>0</v>
      </c>
      <c r="L956">
        <v>31</v>
      </c>
      <c r="M956">
        <v>146.96</v>
      </c>
      <c r="N956">
        <v>146.96</v>
      </c>
      <c r="O956">
        <v>62</v>
      </c>
      <c r="P956">
        <v>84.960000000000008</v>
      </c>
    </row>
    <row r="957" spans="1:16" x14ac:dyDescent="0.3">
      <c r="A957" s="1">
        <v>45839</v>
      </c>
      <c r="B957" s="2" t="s">
        <v>75</v>
      </c>
      <c r="C957" s="2" t="s">
        <v>76</v>
      </c>
      <c r="D957" s="2" t="s">
        <v>50</v>
      </c>
      <c r="E957" s="2" t="s">
        <v>47</v>
      </c>
      <c r="F957" s="2" t="s">
        <v>52</v>
      </c>
      <c r="G957" s="2" t="s">
        <v>151</v>
      </c>
      <c r="H957">
        <v>1</v>
      </c>
      <c r="I957">
        <v>2</v>
      </c>
      <c r="J957">
        <v>44.4</v>
      </c>
      <c r="K957">
        <v>0.08</v>
      </c>
      <c r="L957">
        <v>18</v>
      </c>
      <c r="M957">
        <v>88.8</v>
      </c>
      <c r="N957">
        <v>81.695999999999998</v>
      </c>
      <c r="O957">
        <v>36</v>
      </c>
      <c r="P957">
        <v>45.695999999999998</v>
      </c>
    </row>
    <row r="958" spans="1:16" x14ac:dyDescent="0.3">
      <c r="A958" s="1">
        <v>45839</v>
      </c>
      <c r="B958" s="2" t="s">
        <v>65</v>
      </c>
      <c r="C958" s="2" t="s">
        <v>134</v>
      </c>
      <c r="D958" s="2" t="s">
        <v>41</v>
      </c>
      <c r="E958" s="2" t="s">
        <v>42</v>
      </c>
      <c r="F958" s="2" t="s">
        <v>48</v>
      </c>
      <c r="G958" s="2" t="s">
        <v>208</v>
      </c>
      <c r="H958">
        <v>1</v>
      </c>
      <c r="I958">
        <v>4</v>
      </c>
      <c r="J958">
        <v>136.84</v>
      </c>
      <c r="K958">
        <v>0</v>
      </c>
      <c r="L958">
        <v>63</v>
      </c>
      <c r="M958">
        <v>547.36</v>
      </c>
      <c r="N958">
        <v>547.36</v>
      </c>
      <c r="O958">
        <v>252</v>
      </c>
      <c r="P958">
        <v>295.36</v>
      </c>
    </row>
    <row r="959" spans="1:16" x14ac:dyDescent="0.3">
      <c r="A959" s="1">
        <v>45839</v>
      </c>
      <c r="B959" s="2" t="s">
        <v>65</v>
      </c>
      <c r="C959" s="2" t="s">
        <v>134</v>
      </c>
      <c r="D959" s="2" t="s">
        <v>41</v>
      </c>
      <c r="E959" s="2" t="s">
        <v>42</v>
      </c>
      <c r="F959" s="2" t="s">
        <v>43</v>
      </c>
      <c r="G959" s="2" t="s">
        <v>208</v>
      </c>
      <c r="H959">
        <v>1</v>
      </c>
      <c r="I959">
        <v>3</v>
      </c>
      <c r="J959">
        <v>1181.98</v>
      </c>
      <c r="K959">
        <v>0</v>
      </c>
      <c r="L959">
        <v>760</v>
      </c>
      <c r="M959">
        <v>3545.94</v>
      </c>
      <c r="N959">
        <v>3545.94</v>
      </c>
      <c r="O959">
        <v>2280</v>
      </c>
      <c r="P959">
        <v>1265.94</v>
      </c>
    </row>
    <row r="960" spans="1:16" x14ac:dyDescent="0.3">
      <c r="A960" s="1">
        <v>45839</v>
      </c>
      <c r="B960" s="2" t="s">
        <v>39</v>
      </c>
      <c r="C960" s="2" t="s">
        <v>88</v>
      </c>
      <c r="D960" s="2" t="s">
        <v>50</v>
      </c>
      <c r="E960" s="2" t="s">
        <v>42</v>
      </c>
      <c r="F960" s="2" t="s">
        <v>43</v>
      </c>
      <c r="G960" s="2" t="s">
        <v>185</v>
      </c>
      <c r="H960">
        <v>1</v>
      </c>
      <c r="I960">
        <v>1</v>
      </c>
      <c r="J960">
        <v>169.48</v>
      </c>
      <c r="K960">
        <v>0.8</v>
      </c>
      <c r="L960">
        <v>86</v>
      </c>
      <c r="M960">
        <v>169.48</v>
      </c>
      <c r="N960">
        <v>33.895999999999994</v>
      </c>
      <c r="O960">
        <v>86</v>
      </c>
      <c r="P960">
        <v>-52.104000000000006</v>
      </c>
    </row>
    <row r="961" spans="1:16" x14ac:dyDescent="0.3">
      <c r="A961" s="1">
        <v>45839</v>
      </c>
      <c r="B961" s="2" t="s">
        <v>39</v>
      </c>
      <c r="C961" s="2" t="s">
        <v>88</v>
      </c>
      <c r="D961" s="2" t="s">
        <v>50</v>
      </c>
      <c r="E961" s="2" t="s">
        <v>42</v>
      </c>
      <c r="F961" s="2" t="s">
        <v>52</v>
      </c>
      <c r="G961" s="2" t="s">
        <v>185</v>
      </c>
      <c r="H961">
        <v>1</v>
      </c>
      <c r="I961">
        <v>3</v>
      </c>
      <c r="J961">
        <v>215.76</v>
      </c>
      <c r="K961">
        <v>0.08</v>
      </c>
      <c r="L961">
        <v>124</v>
      </c>
      <c r="M961">
        <v>647.28</v>
      </c>
      <c r="N961">
        <v>595.49760000000003</v>
      </c>
      <c r="O961">
        <v>372</v>
      </c>
      <c r="P961">
        <v>223.49760000000003</v>
      </c>
    </row>
    <row r="962" spans="1:16" x14ac:dyDescent="0.3">
      <c r="A962" s="1">
        <v>45839</v>
      </c>
      <c r="B962" s="2" t="s">
        <v>39</v>
      </c>
      <c r="C962" s="2" t="s">
        <v>78</v>
      </c>
      <c r="D962" s="2" t="s">
        <v>41</v>
      </c>
      <c r="E962" s="2" t="s">
        <v>42</v>
      </c>
      <c r="F962" s="2" t="s">
        <v>48</v>
      </c>
      <c r="G962" s="2" t="s">
        <v>108</v>
      </c>
      <c r="H962">
        <v>1</v>
      </c>
      <c r="I962">
        <v>4</v>
      </c>
      <c r="J962">
        <v>24.28</v>
      </c>
      <c r="K962">
        <v>0</v>
      </c>
      <c r="L962">
        <v>8</v>
      </c>
      <c r="M962">
        <v>97.12</v>
      </c>
      <c r="N962">
        <v>97.12</v>
      </c>
      <c r="O962">
        <v>32</v>
      </c>
      <c r="P962">
        <v>65.12</v>
      </c>
    </row>
    <row r="963" spans="1:16" x14ac:dyDescent="0.3">
      <c r="A963" s="1">
        <v>45839</v>
      </c>
      <c r="B963" s="2" t="s">
        <v>39</v>
      </c>
      <c r="C963" s="2" t="s">
        <v>54</v>
      </c>
      <c r="D963" s="2" t="s">
        <v>41</v>
      </c>
      <c r="E963" s="2" t="s">
        <v>42</v>
      </c>
      <c r="F963" s="2" t="s">
        <v>43</v>
      </c>
      <c r="G963" s="2" t="s">
        <v>55</v>
      </c>
      <c r="H963">
        <v>2</v>
      </c>
      <c r="I963">
        <v>3</v>
      </c>
      <c r="J963">
        <v>194.54999999999998</v>
      </c>
      <c r="K963">
        <v>0</v>
      </c>
      <c r="L963">
        <v>118</v>
      </c>
      <c r="M963">
        <v>492.87</v>
      </c>
      <c r="N963">
        <v>492.87</v>
      </c>
      <c r="O963">
        <v>290</v>
      </c>
      <c r="P963">
        <v>202.86999999999998</v>
      </c>
    </row>
    <row r="964" spans="1:16" x14ac:dyDescent="0.3">
      <c r="A964" s="1">
        <v>45839</v>
      </c>
      <c r="B964" s="2" t="s">
        <v>39</v>
      </c>
      <c r="C964" s="2" t="s">
        <v>40</v>
      </c>
      <c r="D964" s="2" t="s">
        <v>41</v>
      </c>
      <c r="E964" s="2" t="s">
        <v>47</v>
      </c>
      <c r="F964" s="2" t="s">
        <v>43</v>
      </c>
      <c r="G964" s="2" t="s">
        <v>113</v>
      </c>
      <c r="H964">
        <v>2</v>
      </c>
      <c r="I964">
        <v>4</v>
      </c>
      <c r="J964">
        <v>109.36</v>
      </c>
      <c r="K964">
        <v>0.05</v>
      </c>
      <c r="L964">
        <v>54</v>
      </c>
      <c r="M964">
        <v>437.44</v>
      </c>
      <c r="N964">
        <v>415.56799999999998</v>
      </c>
      <c r="O964">
        <v>216</v>
      </c>
      <c r="P964">
        <v>199.56799999999998</v>
      </c>
    </row>
    <row r="965" spans="1:16" x14ac:dyDescent="0.3">
      <c r="A965" s="1">
        <v>45839</v>
      </c>
      <c r="B965" s="2" t="s">
        <v>39</v>
      </c>
      <c r="C965" s="2" t="s">
        <v>40</v>
      </c>
      <c r="D965" s="2" t="s">
        <v>46</v>
      </c>
      <c r="E965" s="2" t="s">
        <v>42</v>
      </c>
      <c r="F965" s="2" t="s">
        <v>43</v>
      </c>
      <c r="G965" s="2" t="s">
        <v>99</v>
      </c>
      <c r="H965">
        <v>1</v>
      </c>
      <c r="I965">
        <v>2</v>
      </c>
      <c r="J965">
        <v>109.37</v>
      </c>
      <c r="K965">
        <v>0.08</v>
      </c>
      <c r="L965">
        <v>54</v>
      </c>
      <c r="M965">
        <v>218.74</v>
      </c>
      <c r="N965">
        <v>201.24080000000001</v>
      </c>
      <c r="O965">
        <v>108</v>
      </c>
      <c r="P965">
        <v>93.240800000000007</v>
      </c>
    </row>
    <row r="966" spans="1:16" x14ac:dyDescent="0.3">
      <c r="A966" s="1">
        <v>45839</v>
      </c>
      <c r="B966" s="2" t="s">
        <v>39</v>
      </c>
      <c r="C966" s="2" t="s">
        <v>40</v>
      </c>
      <c r="D966" s="2" t="s">
        <v>46</v>
      </c>
      <c r="E966" s="2" t="s">
        <v>42</v>
      </c>
      <c r="F966" s="2" t="s">
        <v>48</v>
      </c>
      <c r="G966" s="2" t="s">
        <v>99</v>
      </c>
      <c r="H966">
        <v>1</v>
      </c>
      <c r="I966">
        <v>2</v>
      </c>
      <c r="J966">
        <v>24.24</v>
      </c>
      <c r="K966">
        <v>0.05</v>
      </c>
      <c r="L966">
        <v>8</v>
      </c>
      <c r="M966">
        <v>48.48</v>
      </c>
      <c r="N966">
        <v>46.055999999999997</v>
      </c>
      <c r="O966">
        <v>16</v>
      </c>
      <c r="P966">
        <v>30.055999999999997</v>
      </c>
    </row>
    <row r="967" spans="1:16" x14ac:dyDescent="0.3">
      <c r="A967" s="1">
        <v>45839</v>
      </c>
      <c r="B967" s="2" t="s">
        <v>39</v>
      </c>
      <c r="C967" s="2" t="s">
        <v>40</v>
      </c>
      <c r="D967" s="2" t="s">
        <v>50</v>
      </c>
      <c r="E967" s="2" t="s">
        <v>47</v>
      </c>
      <c r="F967" s="2" t="s">
        <v>43</v>
      </c>
      <c r="G967" s="2" t="s">
        <v>82</v>
      </c>
      <c r="H967">
        <v>1</v>
      </c>
      <c r="I967">
        <v>4</v>
      </c>
      <c r="J967">
        <v>308.70999999999998</v>
      </c>
      <c r="K967">
        <v>0</v>
      </c>
      <c r="L967">
        <v>182</v>
      </c>
      <c r="M967">
        <v>1234.8399999999999</v>
      </c>
      <c r="N967">
        <v>1234.8399999999999</v>
      </c>
      <c r="O967">
        <v>728</v>
      </c>
      <c r="P967">
        <v>506.83999999999992</v>
      </c>
    </row>
    <row r="968" spans="1:16" x14ac:dyDescent="0.3">
      <c r="A968" s="1">
        <v>45839</v>
      </c>
      <c r="B968" s="2" t="s">
        <v>39</v>
      </c>
      <c r="C968" s="2" t="s">
        <v>88</v>
      </c>
      <c r="D968" s="2" t="s">
        <v>50</v>
      </c>
      <c r="E968" s="2" t="s">
        <v>51</v>
      </c>
      <c r="F968" s="2" t="s">
        <v>52</v>
      </c>
      <c r="G968" s="2" t="s">
        <v>89</v>
      </c>
      <c r="H968">
        <v>2</v>
      </c>
      <c r="I968">
        <v>22</v>
      </c>
      <c r="J968">
        <v>115.72</v>
      </c>
      <c r="K968">
        <v>0.09</v>
      </c>
      <c r="L968">
        <v>71</v>
      </c>
      <c r="M968">
        <v>2853.6800000000003</v>
      </c>
      <c r="N968">
        <v>2618.4088000000002</v>
      </c>
      <c r="O968">
        <v>1774</v>
      </c>
      <c r="P968">
        <v>844.40879999999993</v>
      </c>
    </row>
    <row r="969" spans="1:16" x14ac:dyDescent="0.3">
      <c r="A969" s="1">
        <v>45839</v>
      </c>
      <c r="B969" s="2" t="s">
        <v>39</v>
      </c>
      <c r="C969" s="2" t="s">
        <v>40</v>
      </c>
      <c r="D969" s="2" t="s">
        <v>46</v>
      </c>
      <c r="E969" s="2" t="s">
        <v>51</v>
      </c>
      <c r="F969" s="2" t="s">
        <v>43</v>
      </c>
      <c r="G969" s="2" t="s">
        <v>141</v>
      </c>
      <c r="H969">
        <v>1</v>
      </c>
      <c r="I969">
        <v>12</v>
      </c>
      <c r="J969">
        <v>576.30999999999995</v>
      </c>
      <c r="K969">
        <v>0.1</v>
      </c>
      <c r="L969">
        <v>395</v>
      </c>
      <c r="M969">
        <v>6915.7199999999993</v>
      </c>
      <c r="N969">
        <v>6224.1479999999992</v>
      </c>
      <c r="O969">
        <v>4740</v>
      </c>
      <c r="P969">
        <v>1484.1479999999992</v>
      </c>
    </row>
    <row r="970" spans="1:16" x14ac:dyDescent="0.3">
      <c r="A970" s="1">
        <v>45839</v>
      </c>
      <c r="B970" s="2" t="s">
        <v>39</v>
      </c>
      <c r="C970" s="2" t="s">
        <v>40</v>
      </c>
      <c r="D970" s="2" t="s">
        <v>46</v>
      </c>
      <c r="E970" s="2" t="s">
        <v>51</v>
      </c>
      <c r="F970" s="2" t="s">
        <v>48</v>
      </c>
      <c r="G970" s="2" t="s">
        <v>141</v>
      </c>
      <c r="H970">
        <v>1</v>
      </c>
      <c r="I970">
        <v>6</v>
      </c>
      <c r="J970">
        <v>123</v>
      </c>
      <c r="K970">
        <v>0.12</v>
      </c>
      <c r="L970">
        <v>63</v>
      </c>
      <c r="M970">
        <v>738</v>
      </c>
      <c r="N970">
        <v>649.44000000000005</v>
      </c>
      <c r="O970">
        <v>378</v>
      </c>
      <c r="P970">
        <v>271.44000000000005</v>
      </c>
    </row>
    <row r="971" spans="1:16" x14ac:dyDescent="0.3">
      <c r="A971" s="1">
        <v>45839</v>
      </c>
      <c r="B971" s="2" t="s">
        <v>39</v>
      </c>
      <c r="C971" s="2" t="s">
        <v>54</v>
      </c>
      <c r="D971" s="2" t="s">
        <v>41</v>
      </c>
      <c r="E971" s="2" t="s">
        <v>47</v>
      </c>
      <c r="F971" s="2" t="s">
        <v>52</v>
      </c>
      <c r="G971" s="2" t="s">
        <v>86</v>
      </c>
      <c r="H971">
        <v>2</v>
      </c>
      <c r="I971">
        <v>4</v>
      </c>
      <c r="J971">
        <v>44.745000000000005</v>
      </c>
      <c r="K971">
        <v>0</v>
      </c>
      <c r="L971">
        <v>18</v>
      </c>
      <c r="M971">
        <v>177.32999999999998</v>
      </c>
      <c r="N971">
        <v>177.32999999999998</v>
      </c>
      <c r="O971">
        <v>72</v>
      </c>
      <c r="P971">
        <v>105.32999999999998</v>
      </c>
    </row>
    <row r="972" spans="1:16" x14ac:dyDescent="0.3">
      <c r="A972" s="1">
        <v>45839</v>
      </c>
      <c r="B972" s="2" t="s">
        <v>39</v>
      </c>
      <c r="C972" s="2" t="s">
        <v>45</v>
      </c>
      <c r="D972" s="2" t="s">
        <v>50</v>
      </c>
      <c r="E972" s="2" t="s">
        <v>51</v>
      </c>
      <c r="F972" s="2" t="s">
        <v>48</v>
      </c>
      <c r="G972" s="2" t="s">
        <v>59</v>
      </c>
      <c r="H972">
        <v>1</v>
      </c>
      <c r="I972">
        <v>23</v>
      </c>
      <c r="J972">
        <v>67.91</v>
      </c>
      <c r="K972">
        <v>0.1</v>
      </c>
      <c r="L972">
        <v>31</v>
      </c>
      <c r="M972">
        <v>1561.9299999999998</v>
      </c>
      <c r="N972">
        <v>1405.7369999999999</v>
      </c>
      <c r="O972">
        <v>713</v>
      </c>
      <c r="P972">
        <v>692.73699999999985</v>
      </c>
    </row>
    <row r="973" spans="1:16" x14ac:dyDescent="0.3">
      <c r="A973" s="1">
        <v>45839</v>
      </c>
      <c r="B973" s="2" t="s">
        <v>65</v>
      </c>
      <c r="C973" s="2" t="s">
        <v>66</v>
      </c>
      <c r="D973" s="2" t="s">
        <v>50</v>
      </c>
      <c r="E973" s="2" t="s">
        <v>42</v>
      </c>
      <c r="F973" s="2" t="s">
        <v>43</v>
      </c>
      <c r="G973" s="2" t="s">
        <v>220</v>
      </c>
      <c r="H973">
        <v>1</v>
      </c>
      <c r="I973">
        <v>1</v>
      </c>
      <c r="J973">
        <v>295.2</v>
      </c>
      <c r="K973">
        <v>0.12</v>
      </c>
      <c r="L973">
        <v>182</v>
      </c>
      <c r="M973">
        <v>295.2</v>
      </c>
      <c r="N973">
        <v>259.77600000000001</v>
      </c>
      <c r="O973">
        <v>182</v>
      </c>
      <c r="P973">
        <v>77.77600000000001</v>
      </c>
    </row>
    <row r="974" spans="1:16" x14ac:dyDescent="0.3">
      <c r="A974" s="1">
        <v>45839</v>
      </c>
      <c r="B974" s="2" t="s">
        <v>39</v>
      </c>
      <c r="C974" s="2" t="s">
        <v>92</v>
      </c>
      <c r="D974" s="2" t="s">
        <v>50</v>
      </c>
      <c r="E974" s="2" t="s">
        <v>47</v>
      </c>
      <c r="F974" s="2" t="s">
        <v>43</v>
      </c>
      <c r="G974" s="2" t="s">
        <v>110</v>
      </c>
      <c r="H974">
        <v>1</v>
      </c>
      <c r="I974">
        <v>2</v>
      </c>
      <c r="J974">
        <v>307.13</v>
      </c>
      <c r="K974">
        <v>0</v>
      </c>
      <c r="L974">
        <v>182</v>
      </c>
      <c r="M974">
        <v>614.26</v>
      </c>
      <c r="N974">
        <v>614.26</v>
      </c>
      <c r="O974">
        <v>364</v>
      </c>
      <c r="P974">
        <v>250.26</v>
      </c>
    </row>
    <row r="975" spans="1:16" x14ac:dyDescent="0.3">
      <c r="A975" s="1">
        <v>45839</v>
      </c>
      <c r="B975" s="2" t="s">
        <v>65</v>
      </c>
      <c r="C975" s="2" t="s">
        <v>66</v>
      </c>
      <c r="D975" s="2" t="s">
        <v>50</v>
      </c>
      <c r="E975" s="2" t="s">
        <v>51</v>
      </c>
      <c r="F975" s="2" t="s">
        <v>43</v>
      </c>
      <c r="G975" s="2" t="s">
        <v>103</v>
      </c>
      <c r="H975">
        <v>1</v>
      </c>
      <c r="I975">
        <v>4</v>
      </c>
      <c r="J975">
        <v>730.79</v>
      </c>
      <c r="K975">
        <v>0.08</v>
      </c>
      <c r="L975">
        <v>520</v>
      </c>
      <c r="M975">
        <v>2923.16</v>
      </c>
      <c r="N975">
        <v>2689.3072000000002</v>
      </c>
      <c r="O975">
        <v>2080</v>
      </c>
      <c r="P975">
        <v>609.30720000000019</v>
      </c>
    </row>
    <row r="976" spans="1:16" x14ac:dyDescent="0.3">
      <c r="A976" s="1">
        <v>45839</v>
      </c>
      <c r="B976" s="2" t="s">
        <v>39</v>
      </c>
      <c r="C976" s="2" t="s">
        <v>40</v>
      </c>
      <c r="D976" s="2" t="s">
        <v>50</v>
      </c>
      <c r="E976" s="2" t="s">
        <v>47</v>
      </c>
      <c r="F976" s="2" t="s">
        <v>48</v>
      </c>
      <c r="G976" s="2" t="s">
        <v>103</v>
      </c>
      <c r="H976">
        <v>1</v>
      </c>
      <c r="I976">
        <v>2</v>
      </c>
      <c r="J976">
        <v>98.16</v>
      </c>
      <c r="K976">
        <v>0.08</v>
      </c>
      <c r="L976">
        <v>39</v>
      </c>
      <c r="M976">
        <v>196.32</v>
      </c>
      <c r="N976">
        <v>180.61439999999999</v>
      </c>
      <c r="O976">
        <v>78</v>
      </c>
      <c r="P976">
        <v>102.61439999999999</v>
      </c>
    </row>
    <row r="977" spans="1:16" x14ac:dyDescent="0.3">
      <c r="A977" s="1">
        <v>45839</v>
      </c>
      <c r="B977" s="2" t="s">
        <v>39</v>
      </c>
      <c r="C977" s="2" t="s">
        <v>40</v>
      </c>
      <c r="D977" s="2" t="s">
        <v>50</v>
      </c>
      <c r="E977" s="2" t="s">
        <v>47</v>
      </c>
      <c r="F977" s="2" t="s">
        <v>52</v>
      </c>
      <c r="G977" s="2" t="s">
        <v>103</v>
      </c>
      <c r="H977">
        <v>1</v>
      </c>
      <c r="I977">
        <v>1</v>
      </c>
      <c r="J977">
        <v>220.56</v>
      </c>
      <c r="K977">
        <v>0.1</v>
      </c>
      <c r="L977">
        <v>124</v>
      </c>
      <c r="M977">
        <v>220.56</v>
      </c>
      <c r="N977">
        <v>198.50400000000002</v>
      </c>
      <c r="O977">
        <v>124</v>
      </c>
      <c r="P977">
        <v>74.504000000000019</v>
      </c>
    </row>
    <row r="978" spans="1:16" x14ac:dyDescent="0.3">
      <c r="A978" s="1">
        <v>45839</v>
      </c>
      <c r="B978" s="2" t="s">
        <v>56</v>
      </c>
      <c r="C978" s="2" t="s">
        <v>72</v>
      </c>
      <c r="D978" s="2" t="s">
        <v>95</v>
      </c>
      <c r="E978" s="2" t="s">
        <v>51</v>
      </c>
      <c r="F978" s="2" t="s">
        <v>48</v>
      </c>
      <c r="G978" s="2" t="s">
        <v>96</v>
      </c>
      <c r="H978">
        <v>2</v>
      </c>
      <c r="I978">
        <v>24</v>
      </c>
      <c r="J978">
        <v>64.574999999999989</v>
      </c>
      <c r="K978">
        <v>0.1</v>
      </c>
      <c r="L978">
        <v>31</v>
      </c>
      <c r="M978">
        <v>1547.58</v>
      </c>
      <c r="N978">
        <v>1387.9223999999999</v>
      </c>
      <c r="O978">
        <v>744</v>
      </c>
      <c r="P978">
        <v>643.92240000000004</v>
      </c>
    </row>
    <row r="979" spans="1:16" x14ac:dyDescent="0.3">
      <c r="A979" s="1">
        <v>45839</v>
      </c>
      <c r="B979" s="2" t="s">
        <v>39</v>
      </c>
      <c r="C979" s="2" t="s">
        <v>54</v>
      </c>
      <c r="D979" s="2" t="s">
        <v>41</v>
      </c>
      <c r="E979" s="2" t="s">
        <v>42</v>
      </c>
      <c r="F979" s="2" t="s">
        <v>43</v>
      </c>
      <c r="G979" s="2" t="s">
        <v>69</v>
      </c>
      <c r="H979">
        <v>1</v>
      </c>
      <c r="I979">
        <v>2</v>
      </c>
      <c r="J979">
        <v>1124.74</v>
      </c>
      <c r="K979">
        <v>0.1</v>
      </c>
      <c r="L979">
        <v>760</v>
      </c>
      <c r="M979">
        <v>2249.48</v>
      </c>
      <c r="N979">
        <v>2024.5320000000002</v>
      </c>
      <c r="O979">
        <v>1520</v>
      </c>
      <c r="P979">
        <v>504.53200000000015</v>
      </c>
    </row>
    <row r="980" spans="1:16" x14ac:dyDescent="0.3">
      <c r="A980" s="1">
        <v>45839</v>
      </c>
      <c r="B980" s="2" t="s">
        <v>39</v>
      </c>
      <c r="C980" s="2" t="s">
        <v>88</v>
      </c>
      <c r="D980" s="2" t="s">
        <v>50</v>
      </c>
      <c r="E980" s="2" t="s">
        <v>51</v>
      </c>
      <c r="F980" s="2" t="s">
        <v>43</v>
      </c>
      <c r="G980" s="2" t="s">
        <v>185</v>
      </c>
      <c r="H980">
        <v>1</v>
      </c>
      <c r="I980">
        <v>10</v>
      </c>
      <c r="J980">
        <v>555.39</v>
      </c>
      <c r="K980">
        <v>0.05</v>
      </c>
      <c r="L980">
        <v>395</v>
      </c>
      <c r="M980">
        <v>5553.9</v>
      </c>
      <c r="N980">
        <v>5276.204999999999</v>
      </c>
      <c r="O980">
        <v>3950</v>
      </c>
      <c r="P980">
        <v>1326.204999999999</v>
      </c>
    </row>
    <row r="981" spans="1:16" x14ac:dyDescent="0.3">
      <c r="A981" s="1">
        <v>45839</v>
      </c>
      <c r="B981" s="2" t="s">
        <v>39</v>
      </c>
      <c r="C981" s="2" t="s">
        <v>78</v>
      </c>
      <c r="D981" s="2" t="s">
        <v>41</v>
      </c>
      <c r="E981" s="2" t="s">
        <v>47</v>
      </c>
      <c r="F981" s="2" t="s">
        <v>43</v>
      </c>
      <c r="G981" s="2" t="s">
        <v>167</v>
      </c>
      <c r="H981">
        <v>1</v>
      </c>
      <c r="I981">
        <v>3</v>
      </c>
      <c r="J981">
        <v>627.26</v>
      </c>
      <c r="K981">
        <v>0</v>
      </c>
      <c r="L981">
        <v>395</v>
      </c>
      <c r="M981">
        <v>1881.78</v>
      </c>
      <c r="N981">
        <v>1881.78</v>
      </c>
      <c r="O981">
        <v>1185</v>
      </c>
      <c r="P981">
        <v>696.78</v>
      </c>
    </row>
    <row r="982" spans="1:16" x14ac:dyDescent="0.3">
      <c r="A982" s="1">
        <v>45839</v>
      </c>
      <c r="B982" s="2" t="s">
        <v>39</v>
      </c>
      <c r="C982" s="2" t="s">
        <v>40</v>
      </c>
      <c r="D982" s="2" t="s">
        <v>41</v>
      </c>
      <c r="E982" s="2" t="s">
        <v>51</v>
      </c>
      <c r="F982" s="2" t="s">
        <v>43</v>
      </c>
      <c r="G982" s="2" t="s">
        <v>64</v>
      </c>
      <c r="H982">
        <v>1</v>
      </c>
      <c r="I982">
        <v>3</v>
      </c>
      <c r="J982">
        <v>159.97999999999999</v>
      </c>
      <c r="K982">
        <v>0</v>
      </c>
      <c r="L982">
        <v>86</v>
      </c>
      <c r="M982">
        <v>479.93999999999994</v>
      </c>
      <c r="N982">
        <v>479.93999999999994</v>
      </c>
      <c r="O982">
        <v>258</v>
      </c>
      <c r="P982">
        <v>221.93999999999994</v>
      </c>
    </row>
    <row r="983" spans="1:16" x14ac:dyDescent="0.3">
      <c r="A983" s="1">
        <v>45839</v>
      </c>
      <c r="B983" s="2" t="s">
        <v>39</v>
      </c>
      <c r="C983" s="2" t="s">
        <v>88</v>
      </c>
      <c r="D983" s="2" t="s">
        <v>41</v>
      </c>
      <c r="E983" s="2" t="s">
        <v>51</v>
      </c>
      <c r="F983" s="2" t="s">
        <v>48</v>
      </c>
      <c r="G983" s="2" t="s">
        <v>154</v>
      </c>
      <c r="H983">
        <v>2</v>
      </c>
      <c r="I983">
        <v>34</v>
      </c>
      <c r="J983">
        <v>66.63</v>
      </c>
      <c r="K983">
        <v>0</v>
      </c>
      <c r="L983">
        <v>31</v>
      </c>
      <c r="M983">
        <v>2271.1</v>
      </c>
      <c r="N983">
        <v>2271.1</v>
      </c>
      <c r="O983">
        <v>1054</v>
      </c>
      <c r="P983">
        <v>1217.0999999999999</v>
      </c>
    </row>
    <row r="984" spans="1:16" x14ac:dyDescent="0.3">
      <c r="A984" s="1">
        <v>45839</v>
      </c>
      <c r="B984" s="2" t="s">
        <v>39</v>
      </c>
      <c r="C984" s="2" t="s">
        <v>40</v>
      </c>
      <c r="D984" s="2" t="s">
        <v>46</v>
      </c>
      <c r="E984" s="2" t="s">
        <v>42</v>
      </c>
      <c r="F984" s="2" t="s">
        <v>52</v>
      </c>
      <c r="G984" s="2" t="s">
        <v>99</v>
      </c>
      <c r="H984">
        <v>1</v>
      </c>
      <c r="I984">
        <v>3</v>
      </c>
      <c r="J984">
        <v>42.46</v>
      </c>
      <c r="K984">
        <v>0.05</v>
      </c>
      <c r="L984">
        <v>18</v>
      </c>
      <c r="M984">
        <v>127.38</v>
      </c>
      <c r="N984">
        <v>121.011</v>
      </c>
      <c r="O984">
        <v>54</v>
      </c>
      <c r="P984">
        <v>67.010999999999996</v>
      </c>
    </row>
    <row r="985" spans="1:16" x14ac:dyDescent="0.3">
      <c r="A985" s="1">
        <v>45992</v>
      </c>
      <c r="B985" s="2" t="s">
        <v>56</v>
      </c>
      <c r="C985" s="2" t="s">
        <v>57</v>
      </c>
      <c r="D985" s="2" t="s">
        <v>50</v>
      </c>
      <c r="E985" s="2" t="s">
        <v>42</v>
      </c>
      <c r="F985" s="2" t="s">
        <v>43</v>
      </c>
      <c r="G985" s="2" t="s">
        <v>100</v>
      </c>
      <c r="H985">
        <v>1</v>
      </c>
      <c r="I985">
        <v>3</v>
      </c>
      <c r="J985">
        <v>834.43</v>
      </c>
      <c r="K985">
        <v>0.1</v>
      </c>
      <c r="L985">
        <v>520</v>
      </c>
      <c r="M985">
        <v>2503.29</v>
      </c>
      <c r="N985">
        <v>2252.9610000000002</v>
      </c>
      <c r="O985">
        <v>1560</v>
      </c>
      <c r="P985">
        <v>692.96100000000024</v>
      </c>
    </row>
    <row r="986" spans="1:16" x14ac:dyDescent="0.3">
      <c r="A986" s="1">
        <v>45839</v>
      </c>
      <c r="B986" s="2" t="s">
        <v>39</v>
      </c>
      <c r="C986" s="2" t="s">
        <v>92</v>
      </c>
      <c r="D986" s="2" t="s">
        <v>41</v>
      </c>
      <c r="E986" s="2" t="s">
        <v>51</v>
      </c>
      <c r="F986" s="2" t="s">
        <v>48</v>
      </c>
      <c r="G986" s="2" t="s">
        <v>148</v>
      </c>
      <c r="H986">
        <v>1</v>
      </c>
      <c r="I986">
        <v>23</v>
      </c>
      <c r="J986">
        <v>67.650000000000006</v>
      </c>
      <c r="K986">
        <v>0</v>
      </c>
      <c r="L986">
        <v>31</v>
      </c>
      <c r="M986">
        <v>1555.95</v>
      </c>
      <c r="N986">
        <v>1555.95</v>
      </c>
      <c r="O986">
        <v>713</v>
      </c>
      <c r="P986">
        <v>842.95</v>
      </c>
    </row>
    <row r="987" spans="1:16" x14ac:dyDescent="0.3">
      <c r="A987" s="1">
        <v>45839</v>
      </c>
      <c r="B987" s="2" t="s">
        <v>39</v>
      </c>
      <c r="C987" s="2" t="s">
        <v>92</v>
      </c>
      <c r="D987" s="2" t="s">
        <v>41</v>
      </c>
      <c r="E987" s="2" t="s">
        <v>51</v>
      </c>
      <c r="F987" s="2" t="s">
        <v>52</v>
      </c>
      <c r="G987" s="2" t="s">
        <v>148</v>
      </c>
      <c r="H987">
        <v>1</v>
      </c>
      <c r="I987">
        <v>13</v>
      </c>
      <c r="J987">
        <v>40.29</v>
      </c>
      <c r="K987">
        <v>0</v>
      </c>
      <c r="L987">
        <v>18</v>
      </c>
      <c r="M987">
        <v>523.77</v>
      </c>
      <c r="N987">
        <v>523.77</v>
      </c>
      <c r="O987">
        <v>234</v>
      </c>
      <c r="P987">
        <v>289.77</v>
      </c>
    </row>
    <row r="988" spans="1:16" x14ac:dyDescent="0.3">
      <c r="A988" s="1">
        <v>45839</v>
      </c>
      <c r="B988" s="2" t="s">
        <v>39</v>
      </c>
      <c r="C988" s="2" t="s">
        <v>88</v>
      </c>
      <c r="D988" s="2" t="s">
        <v>41</v>
      </c>
      <c r="E988" s="2" t="s">
        <v>42</v>
      </c>
      <c r="F988" s="2" t="s">
        <v>43</v>
      </c>
      <c r="G988" s="2" t="s">
        <v>181</v>
      </c>
      <c r="H988">
        <v>1</v>
      </c>
      <c r="I988">
        <v>3</v>
      </c>
      <c r="J988">
        <v>626.98</v>
      </c>
      <c r="K988">
        <v>0</v>
      </c>
      <c r="L988">
        <v>395</v>
      </c>
      <c r="M988">
        <v>1880.94</v>
      </c>
      <c r="N988">
        <v>1880.94</v>
      </c>
      <c r="O988">
        <v>1185</v>
      </c>
      <c r="P988">
        <v>695.94</v>
      </c>
    </row>
    <row r="989" spans="1:16" x14ac:dyDescent="0.3">
      <c r="A989" s="1">
        <v>45839</v>
      </c>
      <c r="B989" s="2" t="s">
        <v>39</v>
      </c>
      <c r="C989" s="2" t="s">
        <v>88</v>
      </c>
      <c r="D989" s="2" t="s">
        <v>41</v>
      </c>
      <c r="E989" s="2" t="s">
        <v>42</v>
      </c>
      <c r="F989" s="2" t="s">
        <v>48</v>
      </c>
      <c r="G989" s="2" t="s">
        <v>181</v>
      </c>
      <c r="H989">
        <v>1</v>
      </c>
      <c r="I989">
        <v>2</v>
      </c>
      <c r="J989">
        <v>141.5</v>
      </c>
      <c r="K989">
        <v>0.1</v>
      </c>
      <c r="L989">
        <v>63</v>
      </c>
      <c r="M989">
        <v>283</v>
      </c>
      <c r="N989">
        <v>254.70000000000002</v>
      </c>
      <c r="O989">
        <v>126</v>
      </c>
      <c r="P989">
        <v>128.70000000000002</v>
      </c>
    </row>
    <row r="990" spans="1:16" x14ac:dyDescent="0.3">
      <c r="A990" s="1">
        <v>45839</v>
      </c>
      <c r="B990" s="2" t="s">
        <v>56</v>
      </c>
      <c r="C990" s="2" t="s">
        <v>57</v>
      </c>
      <c r="D990" s="2" t="s">
        <v>50</v>
      </c>
      <c r="E990" s="2" t="s">
        <v>47</v>
      </c>
      <c r="F990" s="2" t="s">
        <v>43</v>
      </c>
      <c r="G990" s="2" t="s">
        <v>212</v>
      </c>
      <c r="H990">
        <v>1</v>
      </c>
      <c r="I990">
        <v>1</v>
      </c>
      <c r="J990">
        <v>177.1</v>
      </c>
      <c r="K990">
        <v>0.05</v>
      </c>
      <c r="L990">
        <v>86</v>
      </c>
      <c r="M990">
        <v>177.1</v>
      </c>
      <c r="N990">
        <v>168.24499999999998</v>
      </c>
      <c r="O990">
        <v>86</v>
      </c>
      <c r="P990">
        <v>82.244999999999976</v>
      </c>
    </row>
    <row r="991" spans="1:16" x14ac:dyDescent="0.3">
      <c r="A991" s="1">
        <v>45839</v>
      </c>
      <c r="B991" s="2" t="s">
        <v>56</v>
      </c>
      <c r="C991" s="2" t="s">
        <v>57</v>
      </c>
      <c r="D991" s="2" t="s">
        <v>50</v>
      </c>
      <c r="E991" s="2" t="s">
        <v>47</v>
      </c>
      <c r="F991" s="2" t="s">
        <v>48</v>
      </c>
      <c r="G991" s="2" t="s">
        <v>212</v>
      </c>
      <c r="H991">
        <v>1</v>
      </c>
      <c r="I991">
        <v>3</v>
      </c>
      <c r="J991">
        <v>94.01</v>
      </c>
      <c r="K991">
        <v>0.12</v>
      </c>
      <c r="L991">
        <v>39</v>
      </c>
      <c r="M991">
        <v>282.03000000000003</v>
      </c>
      <c r="N991">
        <v>248.18640000000002</v>
      </c>
      <c r="O991">
        <v>117</v>
      </c>
      <c r="P991">
        <v>131.18640000000002</v>
      </c>
    </row>
    <row r="992" spans="1:16" x14ac:dyDescent="0.3">
      <c r="A992" s="1">
        <v>45839</v>
      </c>
      <c r="B992" s="2" t="s">
        <v>39</v>
      </c>
      <c r="C992" s="2" t="s">
        <v>40</v>
      </c>
      <c r="D992" s="2" t="s">
        <v>41</v>
      </c>
      <c r="E992" s="2" t="s">
        <v>42</v>
      </c>
      <c r="F992" s="2" t="s">
        <v>52</v>
      </c>
      <c r="G992" s="2" t="s">
        <v>200</v>
      </c>
      <c r="H992">
        <v>1</v>
      </c>
      <c r="I992">
        <v>2</v>
      </c>
      <c r="J992">
        <v>44.56</v>
      </c>
      <c r="K992">
        <v>0</v>
      </c>
      <c r="L992">
        <v>18</v>
      </c>
      <c r="M992">
        <v>89.12</v>
      </c>
      <c r="N992">
        <v>89.12</v>
      </c>
      <c r="O992">
        <v>36</v>
      </c>
      <c r="P992">
        <v>53.120000000000005</v>
      </c>
    </row>
    <row r="993" spans="1:16" x14ac:dyDescent="0.3">
      <c r="A993" s="1">
        <v>45839</v>
      </c>
      <c r="B993" s="2" t="s">
        <v>39</v>
      </c>
      <c r="C993" s="2" t="s">
        <v>45</v>
      </c>
      <c r="D993" s="2" t="s">
        <v>50</v>
      </c>
      <c r="E993" s="2" t="s">
        <v>42</v>
      </c>
      <c r="F993" s="2" t="s">
        <v>43</v>
      </c>
      <c r="G993" s="2" t="s">
        <v>53</v>
      </c>
      <c r="H993">
        <v>1</v>
      </c>
      <c r="I993">
        <v>2</v>
      </c>
      <c r="J993">
        <v>174.45</v>
      </c>
      <c r="K993">
        <v>0.08</v>
      </c>
      <c r="L993">
        <v>86</v>
      </c>
      <c r="M993">
        <v>348.9</v>
      </c>
      <c r="N993">
        <v>320.988</v>
      </c>
      <c r="O993">
        <v>172</v>
      </c>
      <c r="P993">
        <v>148.988</v>
      </c>
    </row>
    <row r="994" spans="1:16" x14ac:dyDescent="0.3">
      <c r="A994" s="1">
        <v>45870</v>
      </c>
      <c r="B994" s="2" t="s">
        <v>39</v>
      </c>
      <c r="C994" s="2" t="s">
        <v>54</v>
      </c>
      <c r="D994" s="2" t="s">
        <v>41</v>
      </c>
      <c r="E994" s="2" t="s">
        <v>47</v>
      </c>
      <c r="F994" s="2" t="s">
        <v>43</v>
      </c>
      <c r="G994" s="2" t="s">
        <v>86</v>
      </c>
      <c r="H994">
        <v>1</v>
      </c>
      <c r="I994">
        <v>3</v>
      </c>
      <c r="J994">
        <v>1218.71</v>
      </c>
      <c r="K994">
        <v>0.1</v>
      </c>
      <c r="L994">
        <v>760</v>
      </c>
      <c r="M994">
        <v>3656.13</v>
      </c>
      <c r="N994">
        <v>3290.5170000000003</v>
      </c>
      <c r="O994">
        <v>2280</v>
      </c>
      <c r="P994">
        <v>1010.5170000000003</v>
      </c>
    </row>
    <row r="995" spans="1:16" x14ac:dyDescent="0.3">
      <c r="A995" s="1">
        <v>45870</v>
      </c>
      <c r="B995" s="2" t="s">
        <v>39</v>
      </c>
      <c r="C995" s="2" t="s">
        <v>92</v>
      </c>
      <c r="D995" s="2" t="s">
        <v>50</v>
      </c>
      <c r="E995" s="2" t="s">
        <v>42</v>
      </c>
      <c r="F995" s="2" t="s">
        <v>52</v>
      </c>
      <c r="G995" s="2" t="s">
        <v>98</v>
      </c>
      <c r="H995">
        <v>1</v>
      </c>
      <c r="I995">
        <v>3</v>
      </c>
      <c r="J995">
        <v>216.11</v>
      </c>
      <c r="K995">
        <v>0.05</v>
      </c>
      <c r="L995">
        <v>124</v>
      </c>
      <c r="M995">
        <v>648.33000000000004</v>
      </c>
      <c r="N995">
        <v>615.9135</v>
      </c>
      <c r="O995">
        <v>372</v>
      </c>
      <c r="P995">
        <v>243.9135</v>
      </c>
    </row>
    <row r="996" spans="1:16" x14ac:dyDescent="0.3">
      <c r="A996" s="1">
        <v>45870</v>
      </c>
      <c r="B996" s="2" t="s">
        <v>39</v>
      </c>
      <c r="C996" s="2" t="s">
        <v>92</v>
      </c>
      <c r="D996" s="2" t="s">
        <v>46</v>
      </c>
      <c r="E996" s="2" t="s">
        <v>47</v>
      </c>
      <c r="F996" s="2" t="s">
        <v>48</v>
      </c>
      <c r="G996" s="2" t="s">
        <v>166</v>
      </c>
      <c r="H996">
        <v>1</v>
      </c>
      <c r="I996">
        <v>1</v>
      </c>
      <c r="J996">
        <v>98.56</v>
      </c>
      <c r="K996">
        <v>0.1</v>
      </c>
      <c r="L996">
        <v>39</v>
      </c>
      <c r="M996">
        <v>98.56</v>
      </c>
      <c r="N996">
        <v>88.704000000000008</v>
      </c>
      <c r="O996">
        <v>39</v>
      </c>
      <c r="P996">
        <v>49.704000000000008</v>
      </c>
    </row>
    <row r="997" spans="1:16" x14ac:dyDescent="0.3">
      <c r="A997" s="1">
        <v>45870</v>
      </c>
      <c r="B997" s="2" t="s">
        <v>39</v>
      </c>
      <c r="C997" s="2" t="s">
        <v>88</v>
      </c>
      <c r="D997" s="2" t="s">
        <v>50</v>
      </c>
      <c r="E997" s="2" t="s">
        <v>47</v>
      </c>
      <c r="F997" s="2" t="s">
        <v>48</v>
      </c>
      <c r="G997" s="2" t="s">
        <v>192</v>
      </c>
      <c r="H997">
        <v>1</v>
      </c>
      <c r="I997">
        <v>3</v>
      </c>
      <c r="J997">
        <v>24.15</v>
      </c>
      <c r="K997">
        <v>0.05</v>
      </c>
      <c r="L997">
        <v>8</v>
      </c>
      <c r="M997">
        <v>72.449999999999989</v>
      </c>
      <c r="N997">
        <v>68.827499999999986</v>
      </c>
      <c r="O997">
        <v>24</v>
      </c>
      <c r="P997">
        <v>44.827499999999986</v>
      </c>
    </row>
    <row r="998" spans="1:16" x14ac:dyDescent="0.3">
      <c r="A998" s="1">
        <v>45870</v>
      </c>
      <c r="B998" s="2" t="s">
        <v>39</v>
      </c>
      <c r="C998" s="2" t="s">
        <v>54</v>
      </c>
      <c r="D998" s="2" t="s">
        <v>41</v>
      </c>
      <c r="E998" s="2" t="s">
        <v>47</v>
      </c>
      <c r="F998" s="2" t="s">
        <v>52</v>
      </c>
      <c r="G998" s="2" t="s">
        <v>138</v>
      </c>
      <c r="H998">
        <v>2</v>
      </c>
      <c r="I998">
        <v>3</v>
      </c>
      <c r="J998">
        <v>128.47</v>
      </c>
      <c r="K998">
        <v>0</v>
      </c>
      <c r="L998">
        <v>629</v>
      </c>
      <c r="M998">
        <v>302.20999999999998</v>
      </c>
      <c r="N998">
        <v>302.20999999999998</v>
      </c>
      <c r="O998">
        <v>1276</v>
      </c>
      <c r="P998">
        <v>-973.79</v>
      </c>
    </row>
    <row r="999" spans="1:16" x14ac:dyDescent="0.3">
      <c r="A999" s="1">
        <v>45870</v>
      </c>
      <c r="B999" s="2" t="s">
        <v>39</v>
      </c>
      <c r="C999" s="2" t="s">
        <v>78</v>
      </c>
      <c r="D999" s="2" t="s">
        <v>41</v>
      </c>
      <c r="E999" s="2" t="s">
        <v>42</v>
      </c>
      <c r="F999" s="2" t="s">
        <v>48</v>
      </c>
      <c r="G999" s="2" t="s">
        <v>108</v>
      </c>
      <c r="H999">
        <v>4</v>
      </c>
      <c r="I999">
        <v>7</v>
      </c>
      <c r="J999">
        <v>96.5625</v>
      </c>
      <c r="K999">
        <v>0</v>
      </c>
      <c r="L999">
        <v>43.25</v>
      </c>
      <c r="M999">
        <v>779.01</v>
      </c>
      <c r="N999">
        <v>779.01</v>
      </c>
      <c r="O999">
        <v>362</v>
      </c>
      <c r="P999">
        <v>417.01</v>
      </c>
    </row>
    <row r="1000" spans="1:16" x14ac:dyDescent="0.3">
      <c r="A1000" s="1">
        <v>45870</v>
      </c>
      <c r="B1000" s="2" t="s">
        <v>39</v>
      </c>
      <c r="C1000" s="2" t="s">
        <v>78</v>
      </c>
      <c r="D1000" s="2" t="s">
        <v>41</v>
      </c>
      <c r="E1000" s="2" t="s">
        <v>42</v>
      </c>
      <c r="F1000" s="2" t="s">
        <v>43</v>
      </c>
      <c r="G1000" s="2" t="s">
        <v>108</v>
      </c>
      <c r="H1000">
        <v>2</v>
      </c>
      <c r="I1000">
        <v>3</v>
      </c>
      <c r="J1000">
        <v>1165.73</v>
      </c>
      <c r="K1000">
        <v>0</v>
      </c>
      <c r="L1000">
        <v>760</v>
      </c>
      <c r="M1000">
        <v>3495.7</v>
      </c>
      <c r="N1000">
        <v>3495.7</v>
      </c>
      <c r="O1000">
        <v>2280</v>
      </c>
      <c r="P1000">
        <v>1215.7</v>
      </c>
    </row>
    <row r="1001" spans="1:16" x14ac:dyDescent="0.3">
      <c r="A1001" s="1">
        <v>45870</v>
      </c>
      <c r="B1001" s="2" t="s">
        <v>83</v>
      </c>
      <c r="C1001" s="2" t="s">
        <v>164</v>
      </c>
      <c r="D1001" s="2" t="s">
        <v>50</v>
      </c>
      <c r="E1001" s="2" t="s">
        <v>47</v>
      </c>
      <c r="F1001" s="2" t="s">
        <v>43</v>
      </c>
      <c r="G1001" s="2" t="s">
        <v>53</v>
      </c>
      <c r="H1001">
        <v>1</v>
      </c>
      <c r="I1001">
        <v>2</v>
      </c>
      <c r="J1001">
        <v>837.9</v>
      </c>
      <c r="K1001">
        <v>0.1</v>
      </c>
      <c r="L1001">
        <v>520</v>
      </c>
      <c r="M1001">
        <v>1675.8</v>
      </c>
      <c r="N1001">
        <v>1508.22</v>
      </c>
      <c r="O1001">
        <v>1040</v>
      </c>
      <c r="P1001">
        <v>468.22</v>
      </c>
    </row>
    <row r="1002" spans="1:16" x14ac:dyDescent="0.3">
      <c r="A1002" s="1">
        <v>45870</v>
      </c>
      <c r="B1002" s="2" t="s">
        <v>39</v>
      </c>
      <c r="C1002" s="2" t="s">
        <v>40</v>
      </c>
      <c r="D1002" s="2" t="s">
        <v>50</v>
      </c>
      <c r="E1002" s="2" t="s">
        <v>47</v>
      </c>
      <c r="F1002" s="2" t="s">
        <v>43</v>
      </c>
      <c r="G1002" s="2" t="s">
        <v>214</v>
      </c>
      <c r="H1002">
        <v>1</v>
      </c>
      <c r="I1002">
        <v>4</v>
      </c>
      <c r="J1002">
        <v>304.3</v>
      </c>
      <c r="K1002">
        <v>0.1</v>
      </c>
      <c r="L1002">
        <v>182</v>
      </c>
      <c r="M1002">
        <v>1217.2</v>
      </c>
      <c r="N1002">
        <v>1095.48</v>
      </c>
      <c r="O1002">
        <v>728</v>
      </c>
      <c r="P1002">
        <v>367.48</v>
      </c>
    </row>
    <row r="1003" spans="1:16" x14ac:dyDescent="0.3">
      <c r="A1003" s="1">
        <v>45870</v>
      </c>
      <c r="B1003" s="2" t="s">
        <v>39</v>
      </c>
      <c r="C1003" s="2" t="s">
        <v>88</v>
      </c>
      <c r="D1003" s="2" t="s">
        <v>50</v>
      </c>
      <c r="E1003" s="2" t="s">
        <v>42</v>
      </c>
      <c r="F1003" s="2" t="s">
        <v>48</v>
      </c>
      <c r="G1003" s="2" t="s">
        <v>133</v>
      </c>
      <c r="H1003">
        <v>1</v>
      </c>
      <c r="I1003">
        <v>3</v>
      </c>
      <c r="J1003">
        <v>92.17</v>
      </c>
      <c r="K1003">
        <v>0.12</v>
      </c>
      <c r="L1003">
        <v>39</v>
      </c>
      <c r="M1003">
        <v>276.51</v>
      </c>
      <c r="N1003">
        <v>243.3288</v>
      </c>
      <c r="O1003">
        <v>117</v>
      </c>
      <c r="P1003">
        <v>126.3288</v>
      </c>
    </row>
    <row r="1004" spans="1:16" x14ac:dyDescent="0.3">
      <c r="A1004" s="1">
        <v>45870</v>
      </c>
      <c r="B1004" s="2" t="s">
        <v>56</v>
      </c>
      <c r="C1004" s="2" t="s">
        <v>57</v>
      </c>
      <c r="D1004" s="2" t="s">
        <v>46</v>
      </c>
      <c r="E1004" s="2" t="s">
        <v>42</v>
      </c>
      <c r="F1004" s="2" t="s">
        <v>48</v>
      </c>
      <c r="G1004" s="2" t="s">
        <v>116</v>
      </c>
      <c r="H1004">
        <v>1</v>
      </c>
      <c r="I1004">
        <v>3</v>
      </c>
      <c r="J1004">
        <v>134.88</v>
      </c>
      <c r="K1004">
        <v>0.12</v>
      </c>
      <c r="L1004">
        <v>63</v>
      </c>
      <c r="M1004">
        <v>404.64</v>
      </c>
      <c r="N1004">
        <v>356.08319999999998</v>
      </c>
      <c r="O1004">
        <v>189</v>
      </c>
      <c r="P1004">
        <v>167.08319999999998</v>
      </c>
    </row>
    <row r="1005" spans="1:16" x14ac:dyDescent="0.3">
      <c r="A1005" s="1">
        <v>45870</v>
      </c>
      <c r="B1005" s="2" t="s">
        <v>56</v>
      </c>
      <c r="C1005" s="2" t="s">
        <v>57</v>
      </c>
      <c r="D1005" s="2" t="s">
        <v>46</v>
      </c>
      <c r="E1005" s="2" t="s">
        <v>42</v>
      </c>
      <c r="F1005" s="2" t="s">
        <v>52</v>
      </c>
      <c r="G1005" s="2" t="s">
        <v>116</v>
      </c>
      <c r="H1005">
        <v>1</v>
      </c>
      <c r="I1005">
        <v>3</v>
      </c>
      <c r="J1005">
        <v>211.24</v>
      </c>
      <c r="K1005">
        <v>0.05</v>
      </c>
      <c r="L1005">
        <v>124</v>
      </c>
      <c r="M1005">
        <v>633.72</v>
      </c>
      <c r="N1005">
        <v>602.03399999999999</v>
      </c>
      <c r="O1005">
        <v>372</v>
      </c>
      <c r="P1005">
        <v>230.03399999999999</v>
      </c>
    </row>
    <row r="1006" spans="1:16" x14ac:dyDescent="0.3">
      <c r="A1006" s="1">
        <v>45870</v>
      </c>
      <c r="B1006" s="2" t="s">
        <v>65</v>
      </c>
      <c r="C1006" s="2" t="s">
        <v>66</v>
      </c>
      <c r="D1006" s="2" t="s">
        <v>50</v>
      </c>
      <c r="E1006" s="2" t="s">
        <v>51</v>
      </c>
      <c r="F1006" s="2" t="s">
        <v>43</v>
      </c>
      <c r="G1006" s="2" t="s">
        <v>195</v>
      </c>
      <c r="H1006">
        <v>1</v>
      </c>
      <c r="I1006">
        <v>6</v>
      </c>
      <c r="J1006">
        <v>1096.52</v>
      </c>
      <c r="K1006">
        <v>0.08</v>
      </c>
      <c r="L1006">
        <v>760</v>
      </c>
      <c r="M1006">
        <v>6579.12</v>
      </c>
      <c r="N1006">
        <v>6052.7903999999999</v>
      </c>
      <c r="O1006">
        <v>4560</v>
      </c>
      <c r="P1006">
        <v>1492.7903999999999</v>
      </c>
    </row>
    <row r="1007" spans="1:16" x14ac:dyDescent="0.3">
      <c r="A1007" s="1">
        <v>45870</v>
      </c>
      <c r="B1007" s="2" t="s">
        <v>83</v>
      </c>
      <c r="C1007" s="2" t="s">
        <v>84</v>
      </c>
      <c r="D1007" s="2" t="s">
        <v>46</v>
      </c>
      <c r="E1007" s="2" t="s">
        <v>42</v>
      </c>
      <c r="F1007" s="2" t="s">
        <v>43</v>
      </c>
      <c r="G1007" s="2" t="s">
        <v>90</v>
      </c>
      <c r="H1007">
        <v>2</v>
      </c>
      <c r="I1007">
        <v>4</v>
      </c>
      <c r="J1007">
        <v>454.94499999999999</v>
      </c>
      <c r="K1007">
        <v>7.5000000000000011E-2</v>
      </c>
      <c r="L1007">
        <v>288.5</v>
      </c>
      <c r="M1007">
        <v>1819.78</v>
      </c>
      <c r="N1007">
        <v>1698.5409999999999</v>
      </c>
      <c r="O1007">
        <v>1154</v>
      </c>
      <c r="P1007">
        <v>544.54099999999994</v>
      </c>
    </row>
    <row r="1008" spans="1:16" x14ac:dyDescent="0.3">
      <c r="A1008" s="1">
        <v>45870</v>
      </c>
      <c r="B1008" s="2" t="s">
        <v>39</v>
      </c>
      <c r="C1008" s="2" t="s">
        <v>40</v>
      </c>
      <c r="D1008" s="2" t="s">
        <v>41</v>
      </c>
      <c r="E1008" s="2" t="s">
        <v>42</v>
      </c>
      <c r="F1008" s="2" t="s">
        <v>52</v>
      </c>
      <c r="G1008" s="2" t="s">
        <v>215</v>
      </c>
      <c r="H1008">
        <v>1</v>
      </c>
      <c r="I1008">
        <v>2</v>
      </c>
      <c r="J1008">
        <v>211.89</v>
      </c>
      <c r="K1008">
        <v>0</v>
      </c>
      <c r="L1008">
        <v>124</v>
      </c>
      <c r="M1008">
        <v>423.78</v>
      </c>
      <c r="N1008">
        <v>423.78</v>
      </c>
      <c r="O1008">
        <v>248</v>
      </c>
      <c r="P1008">
        <v>175.77999999999997</v>
      </c>
    </row>
    <row r="1009" spans="1:16" x14ac:dyDescent="0.3">
      <c r="A1009" s="1">
        <v>45870</v>
      </c>
      <c r="B1009" s="2" t="s">
        <v>39</v>
      </c>
      <c r="C1009" s="2" t="s">
        <v>40</v>
      </c>
      <c r="D1009" s="2" t="s">
        <v>41</v>
      </c>
      <c r="E1009" s="2" t="s">
        <v>42</v>
      </c>
      <c r="F1009" s="2" t="s">
        <v>43</v>
      </c>
      <c r="G1009" s="2" t="s">
        <v>86</v>
      </c>
      <c r="H1009">
        <v>1</v>
      </c>
      <c r="I1009">
        <v>1</v>
      </c>
      <c r="J1009">
        <v>281.17</v>
      </c>
      <c r="K1009">
        <v>0</v>
      </c>
      <c r="L1009">
        <v>182</v>
      </c>
      <c r="M1009">
        <v>281.17</v>
      </c>
      <c r="N1009">
        <v>281.17</v>
      </c>
      <c r="O1009">
        <v>182</v>
      </c>
      <c r="P1009">
        <v>99.170000000000016</v>
      </c>
    </row>
    <row r="1010" spans="1:16" x14ac:dyDescent="0.3">
      <c r="A1010" s="1">
        <v>45870</v>
      </c>
      <c r="B1010" s="2" t="s">
        <v>56</v>
      </c>
      <c r="C1010" s="2" t="s">
        <v>57</v>
      </c>
      <c r="D1010" s="2" t="s">
        <v>50</v>
      </c>
      <c r="E1010" s="2" t="s">
        <v>51</v>
      </c>
      <c r="F1010" s="2" t="s">
        <v>43</v>
      </c>
      <c r="G1010" s="2" t="s">
        <v>147</v>
      </c>
      <c r="H1010">
        <v>1</v>
      </c>
      <c r="I1010">
        <v>13</v>
      </c>
      <c r="J1010">
        <v>166.14</v>
      </c>
      <c r="K1010">
        <v>0.1</v>
      </c>
      <c r="L1010">
        <v>86</v>
      </c>
      <c r="M1010">
        <v>2159.8199999999997</v>
      </c>
      <c r="N1010">
        <v>1943.8379999999997</v>
      </c>
      <c r="O1010">
        <v>1118</v>
      </c>
      <c r="P1010">
        <v>825.83799999999974</v>
      </c>
    </row>
    <row r="1011" spans="1:16" x14ac:dyDescent="0.3">
      <c r="A1011" s="1">
        <v>45870</v>
      </c>
      <c r="B1011" s="2" t="s">
        <v>39</v>
      </c>
      <c r="C1011" s="2" t="s">
        <v>54</v>
      </c>
      <c r="D1011" s="2" t="s">
        <v>41</v>
      </c>
      <c r="E1011" s="2" t="s">
        <v>51</v>
      </c>
      <c r="F1011" s="2" t="s">
        <v>43</v>
      </c>
      <c r="G1011" s="2" t="s">
        <v>86</v>
      </c>
      <c r="H1011">
        <v>1</v>
      </c>
      <c r="I1011">
        <v>6</v>
      </c>
      <c r="J1011">
        <v>751.52</v>
      </c>
      <c r="K1011">
        <v>0</v>
      </c>
      <c r="L1011">
        <v>520</v>
      </c>
      <c r="M1011">
        <v>4509.12</v>
      </c>
      <c r="N1011">
        <v>4509.12</v>
      </c>
      <c r="O1011">
        <v>3120</v>
      </c>
      <c r="P1011">
        <v>1389.12</v>
      </c>
    </row>
    <row r="1012" spans="1:16" x14ac:dyDescent="0.3">
      <c r="A1012" s="1">
        <v>45870</v>
      </c>
      <c r="B1012" s="2" t="s">
        <v>56</v>
      </c>
      <c r="C1012" s="2" t="s">
        <v>57</v>
      </c>
      <c r="D1012" s="2" t="s">
        <v>50</v>
      </c>
      <c r="E1012" s="2" t="s">
        <v>47</v>
      </c>
      <c r="F1012" s="2" t="s">
        <v>43</v>
      </c>
      <c r="G1012" s="2" t="s">
        <v>60</v>
      </c>
      <c r="H1012">
        <v>3</v>
      </c>
      <c r="I1012">
        <v>6</v>
      </c>
      <c r="J1012">
        <v>893.91666666666674</v>
      </c>
      <c r="K1012">
        <v>0.09</v>
      </c>
      <c r="L1012">
        <v>567.33333333333337</v>
      </c>
      <c r="M1012">
        <v>5363.5</v>
      </c>
      <c r="N1012">
        <v>4898.1093999999994</v>
      </c>
      <c r="O1012">
        <v>3404</v>
      </c>
      <c r="P1012">
        <v>1494.1093999999998</v>
      </c>
    </row>
    <row r="1013" spans="1:16" x14ac:dyDescent="0.3">
      <c r="A1013" s="1">
        <v>45870</v>
      </c>
      <c r="B1013" s="2" t="s">
        <v>39</v>
      </c>
      <c r="C1013" s="2" t="s">
        <v>40</v>
      </c>
      <c r="D1013" s="2" t="s">
        <v>50</v>
      </c>
      <c r="E1013" s="2" t="s">
        <v>42</v>
      </c>
      <c r="F1013" s="2" t="s">
        <v>52</v>
      </c>
      <c r="G1013" s="2" t="s">
        <v>103</v>
      </c>
      <c r="H1013">
        <v>1</v>
      </c>
      <c r="I1013">
        <v>2</v>
      </c>
      <c r="J1013">
        <v>42.81</v>
      </c>
      <c r="K1013">
        <v>0.08</v>
      </c>
      <c r="L1013">
        <v>18</v>
      </c>
      <c r="M1013">
        <v>85.62</v>
      </c>
      <c r="N1013">
        <v>78.770400000000009</v>
      </c>
      <c r="O1013">
        <v>36</v>
      </c>
      <c r="P1013">
        <v>42.770400000000009</v>
      </c>
    </row>
    <row r="1014" spans="1:16" x14ac:dyDescent="0.3">
      <c r="A1014" s="1">
        <v>45870</v>
      </c>
      <c r="B1014" s="2" t="s">
        <v>39</v>
      </c>
      <c r="C1014" s="2" t="s">
        <v>92</v>
      </c>
      <c r="D1014" s="2" t="s">
        <v>41</v>
      </c>
      <c r="E1014" s="2" t="s">
        <v>42</v>
      </c>
      <c r="F1014" s="2" t="s">
        <v>43</v>
      </c>
      <c r="G1014" s="2" t="s">
        <v>111</v>
      </c>
      <c r="H1014">
        <v>1</v>
      </c>
      <c r="I1014">
        <v>1</v>
      </c>
      <c r="J1014">
        <v>843.72</v>
      </c>
      <c r="K1014">
        <v>0</v>
      </c>
      <c r="L1014">
        <v>520</v>
      </c>
      <c r="M1014">
        <v>843.72</v>
      </c>
      <c r="N1014">
        <v>843.72</v>
      </c>
      <c r="O1014">
        <v>520</v>
      </c>
      <c r="P1014">
        <v>323.72000000000003</v>
      </c>
    </row>
    <row r="1015" spans="1:16" x14ac:dyDescent="0.3">
      <c r="A1015" s="1">
        <v>45870</v>
      </c>
      <c r="B1015" s="2" t="s">
        <v>56</v>
      </c>
      <c r="C1015" s="2" t="s">
        <v>62</v>
      </c>
      <c r="D1015" s="2" t="s">
        <v>41</v>
      </c>
      <c r="E1015" s="2" t="s">
        <v>42</v>
      </c>
      <c r="F1015" s="2" t="s">
        <v>48</v>
      </c>
      <c r="G1015" s="2" t="s">
        <v>193</v>
      </c>
      <c r="H1015">
        <v>1</v>
      </c>
      <c r="I1015">
        <v>3</v>
      </c>
      <c r="J1015">
        <v>24.24</v>
      </c>
      <c r="K1015">
        <v>0</v>
      </c>
      <c r="L1015">
        <v>8</v>
      </c>
      <c r="M1015">
        <v>72.72</v>
      </c>
      <c r="N1015">
        <v>72.72</v>
      </c>
      <c r="O1015">
        <v>24</v>
      </c>
      <c r="P1015">
        <v>48.72</v>
      </c>
    </row>
    <row r="1016" spans="1:16" x14ac:dyDescent="0.3">
      <c r="A1016" s="1">
        <v>45870</v>
      </c>
      <c r="B1016" s="2" t="s">
        <v>83</v>
      </c>
      <c r="C1016" s="2" t="s">
        <v>84</v>
      </c>
      <c r="D1016" s="2" t="s">
        <v>46</v>
      </c>
      <c r="E1016" s="2" t="s">
        <v>42</v>
      </c>
      <c r="F1016" s="2" t="s">
        <v>48</v>
      </c>
      <c r="G1016" s="2" t="s">
        <v>90</v>
      </c>
      <c r="H1016">
        <v>1</v>
      </c>
      <c r="I1016">
        <v>3</v>
      </c>
      <c r="J1016">
        <v>23.23</v>
      </c>
      <c r="K1016">
        <v>0.12</v>
      </c>
      <c r="L1016">
        <v>8</v>
      </c>
      <c r="M1016">
        <v>69.69</v>
      </c>
      <c r="N1016">
        <v>61.327199999999998</v>
      </c>
      <c r="O1016">
        <v>24</v>
      </c>
      <c r="P1016">
        <v>37.327199999999998</v>
      </c>
    </row>
    <row r="1017" spans="1:16" x14ac:dyDescent="0.3">
      <c r="A1017" s="1">
        <v>45870</v>
      </c>
      <c r="B1017" s="2" t="s">
        <v>65</v>
      </c>
      <c r="C1017" s="2" t="s">
        <v>66</v>
      </c>
      <c r="D1017" s="2" t="s">
        <v>50</v>
      </c>
      <c r="E1017" s="2" t="s">
        <v>47</v>
      </c>
      <c r="F1017" s="2" t="s">
        <v>43</v>
      </c>
      <c r="G1017" s="2" t="s">
        <v>74</v>
      </c>
      <c r="H1017">
        <v>2</v>
      </c>
      <c r="I1017">
        <v>6</v>
      </c>
      <c r="J1017">
        <v>698.995</v>
      </c>
      <c r="K1017">
        <v>0.08</v>
      </c>
      <c r="L1017">
        <v>423</v>
      </c>
      <c r="M1017">
        <v>4193.97</v>
      </c>
      <c r="N1017">
        <v>3858.4524000000001</v>
      </c>
      <c r="O1017">
        <v>2538</v>
      </c>
      <c r="P1017">
        <v>1320.4524000000001</v>
      </c>
    </row>
    <row r="1018" spans="1:16" x14ac:dyDescent="0.3">
      <c r="A1018" s="1">
        <v>45870</v>
      </c>
      <c r="B1018" s="2" t="s">
        <v>39</v>
      </c>
      <c r="C1018" s="2" t="s">
        <v>45</v>
      </c>
      <c r="D1018" s="2" t="s">
        <v>46</v>
      </c>
      <c r="E1018" s="2" t="s">
        <v>51</v>
      </c>
      <c r="F1018" s="2" t="s">
        <v>43</v>
      </c>
      <c r="G1018" s="2" t="s">
        <v>90</v>
      </c>
      <c r="H1018">
        <v>2</v>
      </c>
      <c r="I1018">
        <v>12</v>
      </c>
      <c r="J1018">
        <v>157.06</v>
      </c>
      <c r="K1018">
        <v>0.05</v>
      </c>
      <c r="L1018">
        <v>86</v>
      </c>
      <c r="M1018">
        <v>1884.72</v>
      </c>
      <c r="N1018">
        <v>1790.4839999999999</v>
      </c>
      <c r="O1018">
        <v>1032</v>
      </c>
      <c r="P1018">
        <v>758.48399999999992</v>
      </c>
    </row>
    <row r="1019" spans="1:16" x14ac:dyDescent="0.3">
      <c r="A1019" s="1">
        <v>45870</v>
      </c>
      <c r="B1019" s="2" t="s">
        <v>65</v>
      </c>
      <c r="C1019" s="2" t="s">
        <v>66</v>
      </c>
      <c r="D1019" s="2" t="s">
        <v>41</v>
      </c>
      <c r="E1019" s="2" t="s">
        <v>47</v>
      </c>
      <c r="F1019" s="2" t="s">
        <v>43</v>
      </c>
      <c r="G1019" s="2" t="s">
        <v>68</v>
      </c>
      <c r="H1019">
        <v>3</v>
      </c>
      <c r="I1019">
        <v>8</v>
      </c>
      <c r="J1019">
        <v>670.74333333333334</v>
      </c>
      <c r="K1019">
        <v>3.333333333333334E-2</v>
      </c>
      <c r="L1019">
        <v>407.33333333333331</v>
      </c>
      <c r="M1019">
        <v>4669.71</v>
      </c>
      <c r="N1019">
        <v>4586.3220000000001</v>
      </c>
      <c r="O1019">
        <v>2808</v>
      </c>
      <c r="P1019">
        <v>1778.3219999999999</v>
      </c>
    </row>
    <row r="1020" spans="1:16" x14ac:dyDescent="0.3">
      <c r="A1020" s="1">
        <v>45870</v>
      </c>
      <c r="B1020" s="2" t="s">
        <v>39</v>
      </c>
      <c r="C1020" s="2" t="s">
        <v>54</v>
      </c>
      <c r="D1020" s="2" t="s">
        <v>41</v>
      </c>
      <c r="E1020" s="2" t="s">
        <v>42</v>
      </c>
      <c r="F1020" s="2" t="s">
        <v>43</v>
      </c>
      <c r="G1020" s="2" t="s">
        <v>86</v>
      </c>
      <c r="H1020">
        <v>2</v>
      </c>
      <c r="I1020">
        <v>4</v>
      </c>
      <c r="J1020">
        <v>392.19000000000005</v>
      </c>
      <c r="K1020">
        <v>0</v>
      </c>
      <c r="L1020">
        <v>240.5</v>
      </c>
      <c r="M1020">
        <v>2016.5400000000002</v>
      </c>
      <c r="N1020">
        <v>2016.5400000000002</v>
      </c>
      <c r="O1020">
        <v>1271</v>
      </c>
      <c r="P1020">
        <v>745.54000000000019</v>
      </c>
    </row>
    <row r="1021" spans="1:16" x14ac:dyDescent="0.3">
      <c r="A1021" s="1">
        <v>45870</v>
      </c>
      <c r="B1021" s="2" t="s">
        <v>83</v>
      </c>
      <c r="C1021" s="2" t="s">
        <v>164</v>
      </c>
      <c r="D1021" s="2" t="s">
        <v>50</v>
      </c>
      <c r="E1021" s="2" t="s">
        <v>42</v>
      </c>
      <c r="F1021" s="2" t="s">
        <v>52</v>
      </c>
      <c r="G1021" s="2" t="s">
        <v>232</v>
      </c>
      <c r="H1021">
        <v>1</v>
      </c>
      <c r="I1021">
        <v>3</v>
      </c>
      <c r="J1021">
        <v>44.3</v>
      </c>
      <c r="K1021">
        <v>0.05</v>
      </c>
      <c r="L1021">
        <v>18</v>
      </c>
      <c r="M1021">
        <v>132.89999999999998</v>
      </c>
      <c r="N1021">
        <v>126.25499999999997</v>
      </c>
      <c r="O1021">
        <v>54</v>
      </c>
      <c r="P1021">
        <v>72.254999999999967</v>
      </c>
    </row>
    <row r="1022" spans="1:16" x14ac:dyDescent="0.3">
      <c r="A1022" s="1">
        <v>45870</v>
      </c>
      <c r="B1022" s="2" t="s">
        <v>39</v>
      </c>
      <c r="C1022" s="2" t="s">
        <v>40</v>
      </c>
      <c r="D1022" s="2" t="s">
        <v>41</v>
      </c>
      <c r="E1022" s="2" t="s">
        <v>47</v>
      </c>
      <c r="F1022" s="2" t="s">
        <v>48</v>
      </c>
      <c r="G1022" s="2" t="s">
        <v>200</v>
      </c>
      <c r="H1022">
        <v>1</v>
      </c>
      <c r="I1022">
        <v>5</v>
      </c>
      <c r="J1022">
        <v>95.35</v>
      </c>
      <c r="K1022">
        <v>0</v>
      </c>
      <c r="L1022">
        <v>39</v>
      </c>
      <c r="M1022">
        <v>476.75</v>
      </c>
      <c r="N1022">
        <v>476.75</v>
      </c>
      <c r="O1022">
        <v>195</v>
      </c>
      <c r="P1022">
        <v>281.75</v>
      </c>
    </row>
    <row r="1023" spans="1:16" x14ac:dyDescent="0.3">
      <c r="A1023" s="1">
        <v>45870</v>
      </c>
      <c r="B1023" s="2" t="s">
        <v>39</v>
      </c>
      <c r="C1023" s="2" t="s">
        <v>40</v>
      </c>
      <c r="D1023" s="2" t="s">
        <v>50</v>
      </c>
      <c r="E1023" s="2" t="s">
        <v>51</v>
      </c>
      <c r="F1023" s="2" t="s">
        <v>48</v>
      </c>
      <c r="G1023" s="2" t="s">
        <v>82</v>
      </c>
      <c r="H1023">
        <v>1</v>
      </c>
      <c r="I1023">
        <v>22</v>
      </c>
      <c r="J1023">
        <v>86.99</v>
      </c>
      <c r="K1023">
        <v>0.05</v>
      </c>
      <c r="L1023">
        <v>39</v>
      </c>
      <c r="M1023">
        <v>1913.78</v>
      </c>
      <c r="N1023">
        <v>1818.0909999999999</v>
      </c>
      <c r="O1023">
        <v>858</v>
      </c>
      <c r="P1023">
        <v>960.09099999999989</v>
      </c>
    </row>
    <row r="1024" spans="1:16" x14ac:dyDescent="0.3">
      <c r="A1024" s="1">
        <v>45870</v>
      </c>
      <c r="B1024" s="2" t="s">
        <v>39</v>
      </c>
      <c r="C1024" s="2" t="s">
        <v>92</v>
      </c>
      <c r="D1024" s="2" t="s">
        <v>41</v>
      </c>
      <c r="E1024" s="2" t="s">
        <v>51</v>
      </c>
      <c r="F1024" s="2" t="s">
        <v>48</v>
      </c>
      <c r="G1024" s="2" t="s">
        <v>111</v>
      </c>
      <c r="H1024">
        <v>1</v>
      </c>
      <c r="I1024">
        <v>14</v>
      </c>
      <c r="J1024">
        <v>124.31</v>
      </c>
      <c r="K1024">
        <v>0</v>
      </c>
      <c r="L1024">
        <v>63</v>
      </c>
      <c r="M1024">
        <v>1740.3400000000001</v>
      </c>
      <c r="N1024">
        <v>1740.3400000000001</v>
      </c>
      <c r="O1024">
        <v>882</v>
      </c>
      <c r="P1024">
        <v>858.34000000000015</v>
      </c>
    </row>
    <row r="1025" spans="1:16" x14ac:dyDescent="0.3">
      <c r="A1025" s="1">
        <v>45870</v>
      </c>
      <c r="B1025" s="2" t="s">
        <v>39</v>
      </c>
      <c r="C1025" s="2" t="s">
        <v>92</v>
      </c>
      <c r="D1025" s="2" t="s">
        <v>46</v>
      </c>
      <c r="E1025" s="2" t="s">
        <v>42</v>
      </c>
      <c r="F1025" s="2" t="s">
        <v>52</v>
      </c>
      <c r="G1025" s="2" t="s">
        <v>154</v>
      </c>
      <c r="H1025">
        <v>1</v>
      </c>
      <c r="I1025">
        <v>1</v>
      </c>
      <c r="J1025">
        <v>218.32</v>
      </c>
      <c r="K1025">
        <v>0.1</v>
      </c>
      <c r="L1025">
        <v>124</v>
      </c>
      <c r="M1025">
        <v>218.32</v>
      </c>
      <c r="N1025">
        <v>196.488</v>
      </c>
      <c r="O1025">
        <v>124</v>
      </c>
      <c r="P1025">
        <v>72.488</v>
      </c>
    </row>
    <row r="1026" spans="1:16" x14ac:dyDescent="0.3">
      <c r="A1026" s="1">
        <v>45870</v>
      </c>
      <c r="B1026" s="2" t="s">
        <v>39</v>
      </c>
      <c r="C1026" s="2" t="s">
        <v>92</v>
      </c>
      <c r="D1026" s="2" t="s">
        <v>46</v>
      </c>
      <c r="E1026" s="2" t="s">
        <v>42</v>
      </c>
      <c r="F1026" s="2" t="s">
        <v>48</v>
      </c>
      <c r="G1026" s="2" t="s">
        <v>154</v>
      </c>
      <c r="H1026">
        <v>1</v>
      </c>
      <c r="I1026">
        <v>4</v>
      </c>
      <c r="J1026">
        <v>95.22</v>
      </c>
      <c r="K1026">
        <v>0.05</v>
      </c>
      <c r="L1026">
        <v>39</v>
      </c>
      <c r="M1026">
        <v>380.88</v>
      </c>
      <c r="N1026">
        <v>361.83599999999996</v>
      </c>
      <c r="O1026">
        <v>156</v>
      </c>
      <c r="P1026">
        <v>205.83599999999996</v>
      </c>
    </row>
    <row r="1027" spans="1:16" x14ac:dyDescent="0.3">
      <c r="A1027" s="1">
        <v>45870</v>
      </c>
      <c r="B1027" s="2" t="s">
        <v>39</v>
      </c>
      <c r="C1027" s="2" t="s">
        <v>40</v>
      </c>
      <c r="D1027" s="2" t="s">
        <v>41</v>
      </c>
      <c r="E1027" s="2" t="s">
        <v>42</v>
      </c>
      <c r="F1027" s="2" t="s">
        <v>52</v>
      </c>
      <c r="G1027" s="2" t="s">
        <v>44</v>
      </c>
      <c r="H1027">
        <v>1</v>
      </c>
      <c r="I1027">
        <v>2</v>
      </c>
      <c r="J1027">
        <v>42</v>
      </c>
      <c r="K1027">
        <v>0</v>
      </c>
      <c r="L1027">
        <v>18</v>
      </c>
      <c r="M1027">
        <v>84</v>
      </c>
      <c r="N1027">
        <v>84</v>
      </c>
      <c r="O1027">
        <v>36</v>
      </c>
      <c r="P1027">
        <v>48</v>
      </c>
    </row>
    <row r="1028" spans="1:16" x14ac:dyDescent="0.3">
      <c r="A1028" s="1">
        <v>45870</v>
      </c>
      <c r="B1028" s="2" t="s">
        <v>39</v>
      </c>
      <c r="C1028" s="2" t="s">
        <v>92</v>
      </c>
      <c r="D1028" s="2" t="s">
        <v>46</v>
      </c>
      <c r="E1028" s="2" t="s">
        <v>47</v>
      </c>
      <c r="F1028" s="2" t="s">
        <v>43</v>
      </c>
      <c r="G1028" s="2" t="s">
        <v>184</v>
      </c>
      <c r="H1028">
        <v>1</v>
      </c>
      <c r="I1028">
        <v>1</v>
      </c>
      <c r="J1028">
        <v>177.38</v>
      </c>
      <c r="K1028">
        <v>0.1</v>
      </c>
      <c r="L1028">
        <v>86</v>
      </c>
      <c r="M1028">
        <v>177.38</v>
      </c>
      <c r="N1028">
        <v>159.642</v>
      </c>
      <c r="O1028">
        <v>86</v>
      </c>
      <c r="P1028">
        <v>73.641999999999996</v>
      </c>
    </row>
    <row r="1029" spans="1:16" x14ac:dyDescent="0.3">
      <c r="A1029" s="1">
        <v>45870</v>
      </c>
      <c r="B1029" s="2" t="s">
        <v>39</v>
      </c>
      <c r="C1029" s="2" t="s">
        <v>92</v>
      </c>
      <c r="D1029" s="2" t="s">
        <v>50</v>
      </c>
      <c r="E1029" s="2" t="s">
        <v>47</v>
      </c>
      <c r="F1029" s="2" t="s">
        <v>43</v>
      </c>
      <c r="G1029" s="2" t="s">
        <v>160</v>
      </c>
      <c r="H1029">
        <v>1</v>
      </c>
      <c r="I1029">
        <v>3</v>
      </c>
      <c r="J1029">
        <v>1168.9100000000001</v>
      </c>
      <c r="K1029">
        <v>0.12</v>
      </c>
      <c r="L1029">
        <v>760</v>
      </c>
      <c r="M1029">
        <v>3506.7300000000005</v>
      </c>
      <c r="N1029">
        <v>3085.9224000000004</v>
      </c>
      <c r="O1029">
        <v>2280</v>
      </c>
      <c r="P1029">
        <v>805.92240000000038</v>
      </c>
    </row>
    <row r="1030" spans="1:16" x14ac:dyDescent="0.3">
      <c r="A1030" s="1">
        <v>45870</v>
      </c>
      <c r="B1030" s="2" t="s">
        <v>75</v>
      </c>
      <c r="C1030" s="2" t="s">
        <v>76</v>
      </c>
      <c r="D1030" s="2" t="s">
        <v>50</v>
      </c>
      <c r="E1030" s="2" t="s">
        <v>47</v>
      </c>
      <c r="F1030" s="2" t="s">
        <v>48</v>
      </c>
      <c r="G1030" s="2" t="s">
        <v>82</v>
      </c>
      <c r="H1030">
        <v>1</v>
      </c>
      <c r="I1030">
        <v>4</v>
      </c>
      <c r="J1030">
        <v>138.80000000000001</v>
      </c>
      <c r="K1030">
        <v>0.05</v>
      </c>
      <c r="L1030">
        <v>63</v>
      </c>
      <c r="M1030">
        <v>555.20000000000005</v>
      </c>
      <c r="N1030">
        <v>527.44000000000005</v>
      </c>
      <c r="O1030">
        <v>252</v>
      </c>
      <c r="P1030">
        <v>275.44000000000005</v>
      </c>
    </row>
    <row r="1031" spans="1:16" x14ac:dyDescent="0.3">
      <c r="A1031" s="1">
        <v>45870</v>
      </c>
      <c r="B1031" s="2" t="s">
        <v>56</v>
      </c>
      <c r="C1031" s="2" t="s">
        <v>72</v>
      </c>
      <c r="D1031" s="2" t="s">
        <v>50</v>
      </c>
      <c r="E1031" s="2" t="s">
        <v>47</v>
      </c>
      <c r="F1031" s="2" t="s">
        <v>43</v>
      </c>
      <c r="G1031" s="2" t="s">
        <v>73</v>
      </c>
      <c r="H1031">
        <v>1</v>
      </c>
      <c r="I1031">
        <v>4</v>
      </c>
      <c r="J1031">
        <v>298.79000000000002</v>
      </c>
      <c r="K1031">
        <v>0.12</v>
      </c>
      <c r="L1031">
        <v>182</v>
      </c>
      <c r="M1031">
        <v>1195.1600000000001</v>
      </c>
      <c r="N1031">
        <v>1051.7408</v>
      </c>
      <c r="O1031">
        <v>728</v>
      </c>
      <c r="P1031">
        <v>323.74080000000004</v>
      </c>
    </row>
    <row r="1032" spans="1:16" x14ac:dyDescent="0.3">
      <c r="A1032" s="1">
        <v>45870</v>
      </c>
      <c r="B1032" s="2" t="s">
        <v>39</v>
      </c>
      <c r="C1032" s="2" t="s">
        <v>45</v>
      </c>
      <c r="D1032" s="2" t="s">
        <v>41</v>
      </c>
      <c r="E1032" s="2" t="s">
        <v>42</v>
      </c>
      <c r="F1032" s="2" t="s">
        <v>43</v>
      </c>
      <c r="G1032" s="2" t="s">
        <v>129</v>
      </c>
      <c r="H1032">
        <v>1</v>
      </c>
      <c r="I1032">
        <v>2</v>
      </c>
      <c r="J1032">
        <v>1181.82</v>
      </c>
      <c r="K1032">
        <v>0</v>
      </c>
      <c r="L1032">
        <v>760</v>
      </c>
      <c r="M1032">
        <v>2363.64</v>
      </c>
      <c r="N1032">
        <v>2363.64</v>
      </c>
      <c r="O1032">
        <v>1520</v>
      </c>
      <c r="P1032">
        <v>843.63999999999987</v>
      </c>
    </row>
    <row r="1033" spans="1:16" x14ac:dyDescent="0.3">
      <c r="A1033" s="1">
        <v>45870</v>
      </c>
      <c r="B1033" s="2" t="s">
        <v>39</v>
      </c>
      <c r="C1033" s="2" t="s">
        <v>54</v>
      </c>
      <c r="D1033" s="2" t="s">
        <v>41</v>
      </c>
      <c r="E1033" s="2" t="s">
        <v>47</v>
      </c>
      <c r="F1033" s="2" t="s">
        <v>48</v>
      </c>
      <c r="G1033" s="2" t="s">
        <v>55</v>
      </c>
      <c r="H1033">
        <v>1</v>
      </c>
      <c r="I1033">
        <v>2</v>
      </c>
      <c r="J1033">
        <v>75.58</v>
      </c>
      <c r="K1033">
        <v>0</v>
      </c>
      <c r="L1033">
        <v>31</v>
      </c>
      <c r="M1033">
        <v>151.16</v>
      </c>
      <c r="N1033">
        <v>151.16</v>
      </c>
      <c r="O1033">
        <v>62</v>
      </c>
      <c r="P1033">
        <v>89.16</v>
      </c>
    </row>
    <row r="1034" spans="1:16" x14ac:dyDescent="0.3">
      <c r="A1034" s="1">
        <v>45870</v>
      </c>
      <c r="B1034" s="2" t="s">
        <v>39</v>
      </c>
      <c r="C1034" s="2" t="s">
        <v>40</v>
      </c>
      <c r="D1034" s="2" t="s">
        <v>41</v>
      </c>
      <c r="E1034" s="2" t="s">
        <v>42</v>
      </c>
      <c r="F1034" s="2" t="s">
        <v>52</v>
      </c>
      <c r="G1034" s="2" t="s">
        <v>113</v>
      </c>
      <c r="H1034">
        <v>1</v>
      </c>
      <c r="I1034">
        <v>2</v>
      </c>
      <c r="J1034">
        <v>214.16</v>
      </c>
      <c r="K1034">
        <v>0</v>
      </c>
      <c r="L1034">
        <v>124</v>
      </c>
      <c r="M1034">
        <v>428.32</v>
      </c>
      <c r="N1034">
        <v>428.32</v>
      </c>
      <c r="O1034">
        <v>248</v>
      </c>
      <c r="P1034">
        <v>180.32</v>
      </c>
    </row>
    <row r="1035" spans="1:16" x14ac:dyDescent="0.3">
      <c r="A1035" s="1">
        <v>45870</v>
      </c>
      <c r="B1035" s="2" t="s">
        <v>56</v>
      </c>
      <c r="C1035" s="2" t="s">
        <v>72</v>
      </c>
      <c r="D1035" s="2" t="s">
        <v>41</v>
      </c>
      <c r="E1035" s="2" t="s">
        <v>47</v>
      </c>
      <c r="F1035" s="2" t="s">
        <v>48</v>
      </c>
      <c r="G1035" s="2" t="s">
        <v>175</v>
      </c>
      <c r="H1035">
        <v>2</v>
      </c>
      <c r="I1035">
        <v>5</v>
      </c>
      <c r="J1035">
        <v>105.44499999999999</v>
      </c>
      <c r="K1035">
        <v>2.5000000000000001E-2</v>
      </c>
      <c r="L1035">
        <v>47</v>
      </c>
      <c r="M1035">
        <v>495.76</v>
      </c>
      <c r="N1035">
        <v>482.06899999999996</v>
      </c>
      <c r="O1035">
        <v>219</v>
      </c>
      <c r="P1035">
        <v>263.06899999999996</v>
      </c>
    </row>
    <row r="1036" spans="1:16" x14ac:dyDescent="0.3">
      <c r="A1036" s="1">
        <v>45870</v>
      </c>
      <c r="B1036" s="2" t="s">
        <v>56</v>
      </c>
      <c r="C1036" s="2" t="s">
        <v>72</v>
      </c>
      <c r="D1036" s="2" t="s">
        <v>41</v>
      </c>
      <c r="E1036" s="2" t="s">
        <v>47</v>
      </c>
      <c r="F1036" s="2" t="s">
        <v>43</v>
      </c>
      <c r="G1036" s="2" t="s">
        <v>175</v>
      </c>
      <c r="H1036">
        <v>2</v>
      </c>
      <c r="I1036">
        <v>5</v>
      </c>
      <c r="J1036">
        <v>747.12</v>
      </c>
      <c r="K1036">
        <v>0</v>
      </c>
      <c r="L1036">
        <v>457.5</v>
      </c>
      <c r="M1036">
        <v>4073.49</v>
      </c>
      <c r="N1036">
        <v>4073.49</v>
      </c>
      <c r="O1036">
        <v>2475</v>
      </c>
      <c r="P1036">
        <v>1598.49</v>
      </c>
    </row>
    <row r="1037" spans="1:16" x14ac:dyDescent="0.3">
      <c r="A1037" s="1">
        <v>45870</v>
      </c>
      <c r="B1037" s="2" t="s">
        <v>39</v>
      </c>
      <c r="C1037" s="2" t="s">
        <v>45</v>
      </c>
      <c r="D1037" s="2" t="s">
        <v>46</v>
      </c>
      <c r="E1037" s="2" t="s">
        <v>51</v>
      </c>
      <c r="F1037" s="2" t="s">
        <v>48</v>
      </c>
      <c r="G1037" s="2" t="s">
        <v>188</v>
      </c>
      <c r="H1037">
        <v>2</v>
      </c>
      <c r="I1037">
        <v>33</v>
      </c>
      <c r="J1037">
        <v>105.825</v>
      </c>
      <c r="K1037">
        <v>6.5000000000000002E-2</v>
      </c>
      <c r="L1037">
        <v>51</v>
      </c>
      <c r="M1037">
        <v>3301.92</v>
      </c>
      <c r="N1037">
        <v>3083.4756000000002</v>
      </c>
      <c r="O1037">
        <v>1575</v>
      </c>
      <c r="P1037">
        <v>1508.4756000000002</v>
      </c>
    </row>
    <row r="1038" spans="1:16" x14ac:dyDescent="0.3">
      <c r="A1038" s="1">
        <v>45870</v>
      </c>
      <c r="B1038" s="2" t="s">
        <v>39</v>
      </c>
      <c r="C1038" s="2" t="s">
        <v>40</v>
      </c>
      <c r="D1038" s="2" t="s">
        <v>50</v>
      </c>
      <c r="E1038" s="2" t="s">
        <v>42</v>
      </c>
      <c r="F1038" s="2" t="s">
        <v>43</v>
      </c>
      <c r="G1038" s="2" t="s">
        <v>115</v>
      </c>
      <c r="H1038">
        <v>3</v>
      </c>
      <c r="I1038">
        <v>6</v>
      </c>
      <c r="J1038">
        <v>156.11000000000001</v>
      </c>
      <c r="K1038">
        <v>0.11333333333333333</v>
      </c>
      <c r="L1038">
        <v>75.333333333333329</v>
      </c>
      <c r="M1038">
        <v>865.23</v>
      </c>
      <c r="N1038">
        <v>764.98939999999993</v>
      </c>
      <c r="O1038">
        <v>420</v>
      </c>
      <c r="P1038">
        <v>344.98939999999993</v>
      </c>
    </row>
    <row r="1039" spans="1:16" x14ac:dyDescent="0.3">
      <c r="A1039" s="1">
        <v>45870</v>
      </c>
      <c r="B1039" s="2" t="s">
        <v>39</v>
      </c>
      <c r="C1039" s="2" t="s">
        <v>40</v>
      </c>
      <c r="D1039" s="2" t="s">
        <v>50</v>
      </c>
      <c r="E1039" s="2" t="s">
        <v>42</v>
      </c>
      <c r="F1039" s="2" t="s">
        <v>48</v>
      </c>
      <c r="G1039" s="2" t="s">
        <v>115</v>
      </c>
      <c r="H1039">
        <v>1</v>
      </c>
      <c r="I1039">
        <v>4</v>
      </c>
      <c r="J1039">
        <v>93.64</v>
      </c>
      <c r="K1039">
        <v>0</v>
      </c>
      <c r="L1039">
        <v>39</v>
      </c>
      <c r="M1039">
        <v>374.56</v>
      </c>
      <c r="N1039">
        <v>374.56</v>
      </c>
      <c r="O1039">
        <v>156</v>
      </c>
      <c r="P1039">
        <v>218.56</v>
      </c>
    </row>
    <row r="1040" spans="1:16" x14ac:dyDescent="0.3">
      <c r="A1040" s="1">
        <v>45870</v>
      </c>
      <c r="B1040" s="2" t="s">
        <v>56</v>
      </c>
      <c r="C1040" s="2" t="s">
        <v>57</v>
      </c>
      <c r="D1040" s="2" t="s">
        <v>46</v>
      </c>
      <c r="E1040" s="2" t="s">
        <v>42</v>
      </c>
      <c r="F1040" s="2" t="s">
        <v>52</v>
      </c>
      <c r="G1040" s="2" t="s">
        <v>111</v>
      </c>
      <c r="H1040">
        <v>1</v>
      </c>
      <c r="I1040">
        <v>1</v>
      </c>
      <c r="J1040">
        <v>206.22</v>
      </c>
      <c r="K1040">
        <v>0.08</v>
      </c>
      <c r="L1040">
        <v>124</v>
      </c>
      <c r="M1040">
        <v>206.22</v>
      </c>
      <c r="N1040">
        <v>189.72239999999999</v>
      </c>
      <c r="O1040">
        <v>124</v>
      </c>
      <c r="P1040">
        <v>65.722399999999993</v>
      </c>
    </row>
    <row r="1041" spans="1:16" x14ac:dyDescent="0.3">
      <c r="A1041" s="1">
        <v>45870</v>
      </c>
      <c r="B1041" s="2" t="s">
        <v>39</v>
      </c>
      <c r="C1041" s="2" t="s">
        <v>54</v>
      </c>
      <c r="D1041" s="2" t="s">
        <v>41</v>
      </c>
      <c r="E1041" s="2" t="s">
        <v>47</v>
      </c>
      <c r="F1041" s="2" t="s">
        <v>48</v>
      </c>
      <c r="G1041" s="2" t="s">
        <v>168</v>
      </c>
      <c r="H1041">
        <v>1</v>
      </c>
      <c r="I1041">
        <v>6</v>
      </c>
      <c r="J1041">
        <v>138.84</v>
      </c>
      <c r="K1041">
        <v>0</v>
      </c>
      <c r="L1041">
        <v>63</v>
      </c>
      <c r="M1041">
        <v>833.04</v>
      </c>
      <c r="N1041">
        <v>833.04</v>
      </c>
      <c r="O1041">
        <v>378</v>
      </c>
      <c r="P1041">
        <v>455.03999999999996</v>
      </c>
    </row>
    <row r="1042" spans="1:16" x14ac:dyDescent="0.3">
      <c r="A1042" s="1">
        <v>45870</v>
      </c>
      <c r="B1042" s="2" t="s">
        <v>39</v>
      </c>
      <c r="C1042" s="2" t="s">
        <v>78</v>
      </c>
      <c r="D1042" s="2" t="s">
        <v>46</v>
      </c>
      <c r="E1042" s="2" t="s">
        <v>42</v>
      </c>
      <c r="F1042" s="2" t="s">
        <v>48</v>
      </c>
      <c r="G1042" s="2" t="s">
        <v>79</v>
      </c>
      <c r="H1042">
        <v>1</v>
      </c>
      <c r="I1042">
        <v>3</v>
      </c>
      <c r="J1042">
        <v>73.77</v>
      </c>
      <c r="K1042">
        <v>0.05</v>
      </c>
      <c r="L1042">
        <v>31</v>
      </c>
      <c r="M1042">
        <v>221.31</v>
      </c>
      <c r="N1042">
        <v>210.24449999999999</v>
      </c>
      <c r="O1042">
        <v>93</v>
      </c>
      <c r="P1042">
        <v>117.24449999999999</v>
      </c>
    </row>
    <row r="1043" spans="1:16" x14ac:dyDescent="0.3">
      <c r="A1043" s="1">
        <v>45870</v>
      </c>
      <c r="B1043" s="2" t="s">
        <v>39</v>
      </c>
      <c r="C1043" s="2" t="s">
        <v>78</v>
      </c>
      <c r="D1043" s="2" t="s">
        <v>46</v>
      </c>
      <c r="E1043" s="2" t="s">
        <v>42</v>
      </c>
      <c r="F1043" s="2" t="s">
        <v>43</v>
      </c>
      <c r="G1043" s="2" t="s">
        <v>79</v>
      </c>
      <c r="H1043">
        <v>1</v>
      </c>
      <c r="I1043">
        <v>1</v>
      </c>
      <c r="J1043">
        <v>292.61</v>
      </c>
      <c r="K1043">
        <v>0.15</v>
      </c>
      <c r="L1043">
        <v>182</v>
      </c>
      <c r="M1043">
        <v>292.61</v>
      </c>
      <c r="N1043">
        <v>248.71850000000001</v>
      </c>
      <c r="O1043">
        <v>182</v>
      </c>
      <c r="P1043">
        <v>66.718500000000006</v>
      </c>
    </row>
    <row r="1044" spans="1:16" x14ac:dyDescent="0.3">
      <c r="A1044" s="1">
        <v>45992</v>
      </c>
      <c r="B1044" s="2" t="s">
        <v>39</v>
      </c>
      <c r="C1044" s="2" t="s">
        <v>40</v>
      </c>
      <c r="D1044" s="2" t="s">
        <v>41</v>
      </c>
      <c r="E1044" s="2" t="s">
        <v>47</v>
      </c>
      <c r="F1044" s="2" t="s">
        <v>48</v>
      </c>
      <c r="G1044" s="2" t="s">
        <v>215</v>
      </c>
      <c r="H1044">
        <v>3</v>
      </c>
      <c r="I1044">
        <v>15</v>
      </c>
      <c r="J1044">
        <v>83.306666666666672</v>
      </c>
      <c r="K1044">
        <v>1.666666666666667E-2</v>
      </c>
      <c r="L1044">
        <v>33.666666666666664</v>
      </c>
      <c r="M1044">
        <v>1228.22</v>
      </c>
      <c r="N1044">
        <v>1208.99</v>
      </c>
      <c r="O1044">
        <v>497</v>
      </c>
      <c r="P1044">
        <v>711.99</v>
      </c>
    </row>
    <row r="1045" spans="1:16" x14ac:dyDescent="0.3">
      <c r="A1045" s="1">
        <v>45870</v>
      </c>
      <c r="B1045" s="2" t="s">
        <v>56</v>
      </c>
      <c r="C1045" s="2" t="s">
        <v>57</v>
      </c>
      <c r="D1045" s="2" t="s">
        <v>41</v>
      </c>
      <c r="E1045" s="2" t="s">
        <v>47</v>
      </c>
      <c r="F1045" s="2" t="s">
        <v>52</v>
      </c>
      <c r="G1045" s="2" t="s">
        <v>86</v>
      </c>
      <c r="H1045">
        <v>1</v>
      </c>
      <c r="I1045">
        <v>1</v>
      </c>
      <c r="J1045">
        <v>220.76</v>
      </c>
      <c r="K1045">
        <v>0.05</v>
      </c>
      <c r="L1045">
        <v>124</v>
      </c>
      <c r="M1045">
        <v>220.76</v>
      </c>
      <c r="N1045">
        <v>209.72199999999998</v>
      </c>
      <c r="O1045">
        <v>124</v>
      </c>
      <c r="P1045">
        <v>85.72199999999998</v>
      </c>
    </row>
    <row r="1046" spans="1:16" x14ac:dyDescent="0.3">
      <c r="A1046" s="1">
        <v>45870</v>
      </c>
      <c r="B1046" s="2" t="s">
        <v>56</v>
      </c>
      <c r="C1046" s="2" t="s">
        <v>57</v>
      </c>
      <c r="D1046" s="2" t="s">
        <v>46</v>
      </c>
      <c r="E1046" s="2" t="s">
        <v>51</v>
      </c>
      <c r="F1046" s="2" t="s">
        <v>43</v>
      </c>
      <c r="G1046" s="2" t="s">
        <v>116</v>
      </c>
      <c r="H1046">
        <v>3</v>
      </c>
      <c r="I1046">
        <v>27</v>
      </c>
      <c r="J1046">
        <v>501.89333333333332</v>
      </c>
      <c r="K1046">
        <v>0.1</v>
      </c>
      <c r="L1046">
        <v>342.66666666666669</v>
      </c>
      <c r="M1046">
        <v>8409.880000000001</v>
      </c>
      <c r="N1046">
        <v>7561.8294999999998</v>
      </c>
      <c r="O1046">
        <v>5592</v>
      </c>
      <c r="P1046">
        <v>1969.8294999999998</v>
      </c>
    </row>
    <row r="1047" spans="1:16" x14ac:dyDescent="0.3">
      <c r="A1047" s="1">
        <v>45870</v>
      </c>
      <c r="B1047" s="2" t="s">
        <v>39</v>
      </c>
      <c r="C1047" s="2" t="s">
        <v>88</v>
      </c>
      <c r="D1047" s="2" t="s">
        <v>50</v>
      </c>
      <c r="E1047" s="2" t="s">
        <v>47</v>
      </c>
      <c r="F1047" s="2" t="s">
        <v>48</v>
      </c>
      <c r="G1047" s="2" t="s">
        <v>186</v>
      </c>
      <c r="H1047">
        <v>1</v>
      </c>
      <c r="I1047">
        <v>3</v>
      </c>
      <c r="J1047">
        <v>74.930000000000007</v>
      </c>
      <c r="K1047">
        <v>0.05</v>
      </c>
      <c r="L1047">
        <v>31</v>
      </c>
      <c r="M1047">
        <v>224.79000000000002</v>
      </c>
      <c r="N1047">
        <v>213.5505</v>
      </c>
      <c r="O1047">
        <v>93</v>
      </c>
      <c r="P1047">
        <v>120.5505</v>
      </c>
    </row>
    <row r="1048" spans="1:16" x14ac:dyDescent="0.3">
      <c r="A1048" s="1">
        <v>45870</v>
      </c>
      <c r="B1048" s="2" t="s">
        <v>65</v>
      </c>
      <c r="C1048" s="2" t="s">
        <v>66</v>
      </c>
      <c r="D1048" s="2" t="s">
        <v>50</v>
      </c>
      <c r="E1048" s="2" t="s">
        <v>51</v>
      </c>
      <c r="F1048" s="2" t="s">
        <v>48</v>
      </c>
      <c r="G1048" s="2" t="s">
        <v>220</v>
      </c>
      <c r="H1048">
        <v>3</v>
      </c>
      <c r="I1048">
        <v>54</v>
      </c>
      <c r="J1048">
        <v>90.00333333333333</v>
      </c>
      <c r="K1048">
        <v>7.0000000000000007E-2</v>
      </c>
      <c r="L1048">
        <v>44.666666666666671</v>
      </c>
      <c r="M1048">
        <v>4429.0999999999995</v>
      </c>
      <c r="N1048">
        <v>4089.4305999999997</v>
      </c>
      <c r="O1048">
        <v>2192</v>
      </c>
      <c r="P1048">
        <v>1897.4305999999999</v>
      </c>
    </row>
    <row r="1049" spans="1:16" x14ac:dyDescent="0.3">
      <c r="A1049" s="1">
        <v>45870</v>
      </c>
      <c r="B1049" s="2" t="s">
        <v>56</v>
      </c>
      <c r="C1049" s="2" t="s">
        <v>72</v>
      </c>
      <c r="D1049" s="2" t="s">
        <v>46</v>
      </c>
      <c r="E1049" s="2" t="s">
        <v>51</v>
      </c>
      <c r="F1049" s="2" t="s">
        <v>43</v>
      </c>
      <c r="G1049" s="2" t="s">
        <v>199</v>
      </c>
      <c r="H1049">
        <v>2</v>
      </c>
      <c r="I1049">
        <v>17</v>
      </c>
      <c r="J1049">
        <v>628.73</v>
      </c>
      <c r="K1049">
        <v>0.13500000000000001</v>
      </c>
      <c r="L1049">
        <v>423</v>
      </c>
      <c r="M1049">
        <v>12085.899999999998</v>
      </c>
      <c r="N1049">
        <v>10601.382999999998</v>
      </c>
      <c r="O1049">
        <v>8202</v>
      </c>
      <c r="P1049">
        <v>2399.3829999999989</v>
      </c>
    </row>
    <row r="1050" spans="1:16" x14ac:dyDescent="0.3">
      <c r="A1050" s="1">
        <v>45870</v>
      </c>
      <c r="B1050" s="2" t="s">
        <v>39</v>
      </c>
      <c r="C1050" s="2" t="s">
        <v>40</v>
      </c>
      <c r="D1050" s="2" t="s">
        <v>41</v>
      </c>
      <c r="E1050" s="2" t="s">
        <v>51</v>
      </c>
      <c r="F1050" s="2" t="s">
        <v>48</v>
      </c>
      <c r="G1050" s="2" t="s">
        <v>189</v>
      </c>
      <c r="H1050">
        <v>1</v>
      </c>
      <c r="I1050">
        <v>18</v>
      </c>
      <c r="J1050">
        <v>128.96</v>
      </c>
      <c r="K1050">
        <v>0</v>
      </c>
      <c r="L1050">
        <v>63</v>
      </c>
      <c r="M1050">
        <v>2321.2800000000002</v>
      </c>
      <c r="N1050">
        <v>2321.2800000000002</v>
      </c>
      <c r="O1050">
        <v>1134</v>
      </c>
      <c r="P1050">
        <v>1187.2800000000002</v>
      </c>
    </row>
    <row r="1051" spans="1:16" x14ac:dyDescent="0.3">
      <c r="A1051" s="1">
        <v>45870</v>
      </c>
      <c r="B1051" s="2" t="s">
        <v>39</v>
      </c>
      <c r="C1051" s="2" t="s">
        <v>45</v>
      </c>
      <c r="D1051" s="2" t="s">
        <v>41</v>
      </c>
      <c r="E1051" s="2" t="s">
        <v>47</v>
      </c>
      <c r="F1051" s="2" t="s">
        <v>48</v>
      </c>
      <c r="G1051" s="2" t="s">
        <v>183</v>
      </c>
      <c r="H1051">
        <v>1</v>
      </c>
      <c r="I1051">
        <v>2</v>
      </c>
      <c r="J1051">
        <v>96.3</v>
      </c>
      <c r="K1051">
        <v>0</v>
      </c>
      <c r="L1051">
        <v>39</v>
      </c>
      <c r="M1051">
        <v>192.6</v>
      </c>
      <c r="N1051">
        <v>192.6</v>
      </c>
      <c r="O1051">
        <v>78</v>
      </c>
      <c r="P1051">
        <v>114.6</v>
      </c>
    </row>
    <row r="1052" spans="1:16" x14ac:dyDescent="0.3">
      <c r="A1052" s="1">
        <v>45870</v>
      </c>
      <c r="B1052" s="2" t="s">
        <v>75</v>
      </c>
      <c r="C1052" s="2" t="s">
        <v>76</v>
      </c>
      <c r="D1052" s="2" t="s">
        <v>50</v>
      </c>
      <c r="E1052" s="2" t="s">
        <v>42</v>
      </c>
      <c r="F1052" s="2" t="s">
        <v>43</v>
      </c>
      <c r="G1052" s="2" t="s">
        <v>216</v>
      </c>
      <c r="H1052">
        <v>1</v>
      </c>
      <c r="I1052">
        <v>1</v>
      </c>
      <c r="J1052">
        <v>839.71</v>
      </c>
      <c r="K1052">
        <v>0.1</v>
      </c>
      <c r="L1052">
        <v>520</v>
      </c>
      <c r="M1052">
        <v>839.71</v>
      </c>
      <c r="N1052">
        <v>755.73900000000003</v>
      </c>
      <c r="O1052">
        <v>520</v>
      </c>
      <c r="P1052">
        <v>235.73900000000003</v>
      </c>
    </row>
    <row r="1053" spans="1:16" x14ac:dyDescent="0.3">
      <c r="A1053" s="1">
        <v>45870</v>
      </c>
      <c r="B1053" s="2" t="s">
        <v>75</v>
      </c>
      <c r="C1053" s="2" t="s">
        <v>76</v>
      </c>
      <c r="D1053" s="2" t="s">
        <v>50</v>
      </c>
      <c r="E1053" s="2" t="s">
        <v>42</v>
      </c>
      <c r="F1053" s="2" t="s">
        <v>48</v>
      </c>
      <c r="G1053" s="2" t="s">
        <v>216</v>
      </c>
      <c r="H1053">
        <v>1</v>
      </c>
      <c r="I1053">
        <v>1</v>
      </c>
      <c r="J1053">
        <v>23.39</v>
      </c>
      <c r="K1053">
        <v>0.1</v>
      </c>
      <c r="L1053">
        <v>8</v>
      </c>
      <c r="M1053">
        <v>23.39</v>
      </c>
      <c r="N1053">
        <v>21.051000000000002</v>
      </c>
      <c r="O1053">
        <v>8</v>
      </c>
      <c r="P1053">
        <v>13.051000000000002</v>
      </c>
    </row>
    <row r="1054" spans="1:16" x14ac:dyDescent="0.3">
      <c r="A1054" s="1">
        <v>45870</v>
      </c>
      <c r="B1054" s="2" t="s">
        <v>75</v>
      </c>
      <c r="C1054" s="2" t="s">
        <v>76</v>
      </c>
      <c r="D1054" s="2" t="s">
        <v>50</v>
      </c>
      <c r="E1054" s="2" t="s">
        <v>47</v>
      </c>
      <c r="F1054" s="2" t="s">
        <v>43</v>
      </c>
      <c r="G1054" s="2" t="s">
        <v>216</v>
      </c>
      <c r="H1054">
        <v>4</v>
      </c>
      <c r="I1054">
        <v>9</v>
      </c>
      <c r="J1054">
        <v>470.13</v>
      </c>
      <c r="K1054">
        <v>8.2500000000000004E-2</v>
      </c>
      <c r="L1054">
        <v>287.75</v>
      </c>
      <c r="M1054">
        <v>3872.47</v>
      </c>
      <c r="N1054">
        <v>3539.2681999999995</v>
      </c>
      <c r="O1054">
        <v>2356</v>
      </c>
      <c r="P1054">
        <v>1183.2682000000002</v>
      </c>
    </row>
    <row r="1055" spans="1:16" x14ac:dyDescent="0.3">
      <c r="A1055" s="1">
        <v>45870</v>
      </c>
      <c r="B1055" s="2" t="s">
        <v>56</v>
      </c>
      <c r="C1055" s="2" t="s">
        <v>57</v>
      </c>
      <c r="D1055" s="2" t="s">
        <v>50</v>
      </c>
      <c r="E1055" s="2" t="s">
        <v>42</v>
      </c>
      <c r="F1055" s="2" t="s">
        <v>43</v>
      </c>
      <c r="G1055" s="2" t="s">
        <v>160</v>
      </c>
      <c r="H1055">
        <v>1</v>
      </c>
      <c r="I1055">
        <v>1</v>
      </c>
      <c r="J1055">
        <v>854.65</v>
      </c>
      <c r="K1055">
        <v>0.12</v>
      </c>
      <c r="L1055">
        <v>520</v>
      </c>
      <c r="M1055">
        <v>854.65</v>
      </c>
      <c r="N1055">
        <v>752.09199999999998</v>
      </c>
      <c r="O1055">
        <v>520</v>
      </c>
      <c r="P1055">
        <v>232.09199999999998</v>
      </c>
    </row>
    <row r="1056" spans="1:16" x14ac:dyDescent="0.3">
      <c r="A1056" s="1">
        <v>45870</v>
      </c>
      <c r="B1056" s="2" t="s">
        <v>56</v>
      </c>
      <c r="C1056" s="2" t="s">
        <v>72</v>
      </c>
      <c r="D1056" s="2" t="s">
        <v>50</v>
      </c>
      <c r="E1056" s="2" t="s">
        <v>42</v>
      </c>
      <c r="F1056" s="2" t="s">
        <v>43</v>
      </c>
      <c r="G1056" s="2" t="s">
        <v>118</v>
      </c>
      <c r="H1056">
        <v>1</v>
      </c>
      <c r="I1056">
        <v>3</v>
      </c>
      <c r="J1056">
        <v>864.83</v>
      </c>
      <c r="K1056">
        <v>0.12</v>
      </c>
      <c r="L1056">
        <v>520</v>
      </c>
      <c r="M1056">
        <v>2594.4900000000002</v>
      </c>
      <c r="N1056">
        <v>2283.1512000000002</v>
      </c>
      <c r="O1056">
        <v>1560</v>
      </c>
      <c r="P1056">
        <v>723.15120000000024</v>
      </c>
    </row>
    <row r="1057" spans="1:16" x14ac:dyDescent="0.3">
      <c r="A1057" s="1">
        <v>45870</v>
      </c>
      <c r="B1057" s="2" t="s">
        <v>39</v>
      </c>
      <c r="C1057" s="2" t="s">
        <v>40</v>
      </c>
      <c r="D1057" s="2" t="s">
        <v>46</v>
      </c>
      <c r="E1057" s="2" t="s">
        <v>42</v>
      </c>
      <c r="F1057" s="2" t="s">
        <v>52</v>
      </c>
      <c r="G1057" s="2" t="s">
        <v>229</v>
      </c>
      <c r="H1057">
        <v>1</v>
      </c>
      <c r="I1057">
        <v>1</v>
      </c>
      <c r="J1057">
        <v>42.51</v>
      </c>
      <c r="K1057">
        <v>0.12</v>
      </c>
      <c r="L1057">
        <v>18</v>
      </c>
      <c r="M1057">
        <v>42.51</v>
      </c>
      <c r="N1057">
        <v>37.408799999999999</v>
      </c>
      <c r="O1057">
        <v>18</v>
      </c>
      <c r="P1057">
        <v>19.408799999999999</v>
      </c>
    </row>
    <row r="1058" spans="1:16" x14ac:dyDescent="0.3">
      <c r="A1058" s="1">
        <v>45870</v>
      </c>
      <c r="B1058" s="2" t="s">
        <v>39</v>
      </c>
      <c r="C1058" s="2" t="s">
        <v>40</v>
      </c>
      <c r="D1058" s="2" t="s">
        <v>46</v>
      </c>
      <c r="E1058" s="2" t="s">
        <v>42</v>
      </c>
      <c r="F1058" s="2" t="s">
        <v>48</v>
      </c>
      <c r="G1058" s="2" t="s">
        <v>229</v>
      </c>
      <c r="H1058">
        <v>1</v>
      </c>
      <c r="I1058">
        <v>3</v>
      </c>
      <c r="J1058">
        <v>131.19999999999999</v>
      </c>
      <c r="K1058">
        <v>0.1</v>
      </c>
      <c r="L1058">
        <v>63</v>
      </c>
      <c r="M1058">
        <v>393.59999999999997</v>
      </c>
      <c r="N1058">
        <v>354.23999999999995</v>
      </c>
      <c r="O1058">
        <v>189</v>
      </c>
      <c r="P1058">
        <v>165.23999999999995</v>
      </c>
    </row>
    <row r="1059" spans="1:16" x14ac:dyDescent="0.3">
      <c r="A1059" s="1">
        <v>45870</v>
      </c>
      <c r="B1059" s="2" t="s">
        <v>39</v>
      </c>
      <c r="C1059" s="2" t="s">
        <v>88</v>
      </c>
      <c r="D1059" s="2" t="s">
        <v>46</v>
      </c>
      <c r="E1059" s="2" t="s">
        <v>42</v>
      </c>
      <c r="F1059" s="2" t="s">
        <v>43</v>
      </c>
      <c r="G1059" s="2" t="s">
        <v>210</v>
      </c>
      <c r="H1059">
        <v>1</v>
      </c>
      <c r="I1059">
        <v>1</v>
      </c>
      <c r="J1059">
        <v>616.62</v>
      </c>
      <c r="K1059">
        <v>0.1</v>
      </c>
      <c r="L1059">
        <v>395</v>
      </c>
      <c r="M1059">
        <v>616.62</v>
      </c>
      <c r="N1059">
        <v>554.95799999999997</v>
      </c>
      <c r="O1059">
        <v>395</v>
      </c>
      <c r="P1059">
        <v>159.95799999999997</v>
      </c>
    </row>
    <row r="1060" spans="1:16" x14ac:dyDescent="0.3">
      <c r="A1060" s="1">
        <v>45870</v>
      </c>
      <c r="B1060" s="2" t="s">
        <v>39</v>
      </c>
      <c r="C1060" s="2" t="s">
        <v>88</v>
      </c>
      <c r="D1060" s="2" t="s">
        <v>50</v>
      </c>
      <c r="E1060" s="2" t="s">
        <v>51</v>
      </c>
      <c r="F1060" s="2" t="s">
        <v>52</v>
      </c>
      <c r="G1060" s="2" t="s">
        <v>192</v>
      </c>
      <c r="H1060">
        <v>1</v>
      </c>
      <c r="I1060">
        <v>10</v>
      </c>
      <c r="J1060">
        <v>38.08</v>
      </c>
      <c r="K1060">
        <v>0.05</v>
      </c>
      <c r="L1060">
        <v>18</v>
      </c>
      <c r="M1060">
        <v>380.79999999999995</v>
      </c>
      <c r="N1060">
        <v>361.75999999999993</v>
      </c>
      <c r="O1060">
        <v>180</v>
      </c>
      <c r="P1060">
        <v>181.75999999999993</v>
      </c>
    </row>
    <row r="1061" spans="1:16" x14ac:dyDescent="0.3">
      <c r="A1061" s="1">
        <v>45870</v>
      </c>
      <c r="B1061" s="2" t="s">
        <v>39</v>
      </c>
      <c r="C1061" s="2" t="s">
        <v>88</v>
      </c>
      <c r="D1061" s="2" t="s">
        <v>50</v>
      </c>
      <c r="E1061" s="2" t="s">
        <v>51</v>
      </c>
      <c r="F1061" s="2" t="s">
        <v>48</v>
      </c>
      <c r="G1061" s="2" t="s">
        <v>192</v>
      </c>
      <c r="H1061">
        <v>1</v>
      </c>
      <c r="I1061">
        <v>6</v>
      </c>
      <c r="J1061">
        <v>20.91</v>
      </c>
      <c r="K1061">
        <v>0.12</v>
      </c>
      <c r="L1061">
        <v>8</v>
      </c>
      <c r="M1061">
        <v>125.46000000000001</v>
      </c>
      <c r="N1061">
        <v>110.40480000000001</v>
      </c>
      <c r="O1061">
        <v>48</v>
      </c>
      <c r="P1061">
        <v>62.404800000000009</v>
      </c>
    </row>
    <row r="1062" spans="1:16" x14ac:dyDescent="0.3">
      <c r="A1062" s="1">
        <v>45870</v>
      </c>
      <c r="B1062" s="2" t="s">
        <v>39</v>
      </c>
      <c r="C1062" s="2" t="s">
        <v>40</v>
      </c>
      <c r="D1062" s="2" t="s">
        <v>50</v>
      </c>
      <c r="E1062" s="2" t="s">
        <v>47</v>
      </c>
      <c r="F1062" s="2" t="s">
        <v>43</v>
      </c>
      <c r="G1062" s="2" t="s">
        <v>205</v>
      </c>
      <c r="H1062">
        <v>1</v>
      </c>
      <c r="I1062">
        <v>1</v>
      </c>
      <c r="J1062">
        <v>838.59</v>
      </c>
      <c r="K1062">
        <v>0.08</v>
      </c>
      <c r="L1062">
        <v>520</v>
      </c>
      <c r="M1062">
        <v>838.59</v>
      </c>
      <c r="N1062">
        <v>771.50280000000009</v>
      </c>
      <c r="O1062">
        <v>520</v>
      </c>
      <c r="P1062">
        <v>251.50280000000009</v>
      </c>
    </row>
    <row r="1063" spans="1:16" x14ac:dyDescent="0.3">
      <c r="A1063" s="1">
        <v>45870</v>
      </c>
      <c r="B1063" s="2" t="s">
        <v>39</v>
      </c>
      <c r="C1063" s="2" t="s">
        <v>78</v>
      </c>
      <c r="D1063" s="2" t="s">
        <v>41</v>
      </c>
      <c r="E1063" s="2" t="s">
        <v>51</v>
      </c>
      <c r="F1063" s="2" t="s">
        <v>43</v>
      </c>
      <c r="G1063" s="2" t="s">
        <v>156</v>
      </c>
      <c r="H1063">
        <v>1</v>
      </c>
      <c r="I1063">
        <v>4</v>
      </c>
      <c r="J1063">
        <v>164.38</v>
      </c>
      <c r="K1063">
        <v>0</v>
      </c>
      <c r="L1063">
        <v>86</v>
      </c>
      <c r="M1063">
        <v>657.52</v>
      </c>
      <c r="N1063">
        <v>657.52</v>
      </c>
      <c r="O1063">
        <v>344</v>
      </c>
      <c r="P1063">
        <v>313.52</v>
      </c>
    </row>
    <row r="1064" spans="1:16" x14ac:dyDescent="0.3">
      <c r="A1064" s="1">
        <v>45870</v>
      </c>
      <c r="B1064" s="2" t="s">
        <v>39</v>
      </c>
      <c r="C1064" s="2" t="s">
        <v>88</v>
      </c>
      <c r="D1064" s="2" t="s">
        <v>41</v>
      </c>
      <c r="E1064" s="2" t="s">
        <v>42</v>
      </c>
      <c r="F1064" s="2" t="s">
        <v>48</v>
      </c>
      <c r="G1064" s="2" t="s">
        <v>224</v>
      </c>
      <c r="H1064">
        <v>2</v>
      </c>
      <c r="I1064">
        <v>2</v>
      </c>
      <c r="J1064">
        <v>47.894999999999996</v>
      </c>
      <c r="K1064">
        <v>0</v>
      </c>
      <c r="L1064">
        <v>19.5</v>
      </c>
      <c r="M1064">
        <v>95.789999999999992</v>
      </c>
      <c r="N1064">
        <v>95.789999999999992</v>
      </c>
      <c r="O1064">
        <v>39</v>
      </c>
      <c r="P1064">
        <v>56.79</v>
      </c>
    </row>
    <row r="1065" spans="1:16" x14ac:dyDescent="0.3">
      <c r="A1065" s="1">
        <v>45870</v>
      </c>
      <c r="B1065" s="2" t="s">
        <v>39</v>
      </c>
      <c r="C1065" s="2" t="s">
        <v>88</v>
      </c>
      <c r="D1065" s="2" t="s">
        <v>41</v>
      </c>
      <c r="E1065" s="2" t="s">
        <v>42</v>
      </c>
      <c r="F1065" s="2" t="s">
        <v>43</v>
      </c>
      <c r="G1065" s="2" t="s">
        <v>224</v>
      </c>
      <c r="H1065">
        <v>1</v>
      </c>
      <c r="I1065">
        <v>1</v>
      </c>
      <c r="J1065">
        <v>172.85</v>
      </c>
      <c r="K1065">
        <v>0.05</v>
      </c>
      <c r="L1065">
        <v>86</v>
      </c>
      <c r="M1065">
        <v>172.85</v>
      </c>
      <c r="N1065">
        <v>164.20749999999998</v>
      </c>
      <c r="O1065">
        <v>86</v>
      </c>
      <c r="P1065">
        <v>78.207499999999982</v>
      </c>
    </row>
    <row r="1066" spans="1:16" x14ac:dyDescent="0.3">
      <c r="A1066" s="1">
        <v>45870</v>
      </c>
      <c r="B1066" s="2" t="s">
        <v>65</v>
      </c>
      <c r="C1066" s="2" t="s">
        <v>134</v>
      </c>
      <c r="D1066" s="2" t="s">
        <v>41</v>
      </c>
      <c r="E1066" s="2" t="s">
        <v>42</v>
      </c>
      <c r="F1066" s="2" t="s">
        <v>43</v>
      </c>
      <c r="G1066" s="2" t="s">
        <v>218</v>
      </c>
      <c r="H1066">
        <v>1</v>
      </c>
      <c r="I1066">
        <v>1</v>
      </c>
      <c r="J1066">
        <v>104.1</v>
      </c>
      <c r="K1066">
        <v>0</v>
      </c>
      <c r="L1066">
        <v>54</v>
      </c>
      <c r="M1066">
        <v>104.1</v>
      </c>
      <c r="N1066">
        <v>104.1</v>
      </c>
      <c r="O1066">
        <v>54</v>
      </c>
      <c r="P1066">
        <v>50.099999999999994</v>
      </c>
    </row>
    <row r="1067" spans="1:16" x14ac:dyDescent="0.3">
      <c r="A1067" s="1">
        <v>45870</v>
      </c>
      <c r="B1067" s="2" t="s">
        <v>56</v>
      </c>
      <c r="C1067" s="2" t="s">
        <v>62</v>
      </c>
      <c r="D1067" s="2" t="s">
        <v>46</v>
      </c>
      <c r="E1067" s="2" t="s">
        <v>51</v>
      </c>
      <c r="F1067" s="2" t="s">
        <v>48</v>
      </c>
      <c r="G1067" s="2" t="s">
        <v>74</v>
      </c>
      <c r="H1067">
        <v>2</v>
      </c>
      <c r="I1067">
        <v>38</v>
      </c>
      <c r="J1067">
        <v>126.63</v>
      </c>
      <c r="K1067">
        <v>0.08</v>
      </c>
      <c r="L1067">
        <v>63</v>
      </c>
      <c r="M1067">
        <v>4799.34</v>
      </c>
      <c r="N1067">
        <v>4415.3927999999996</v>
      </c>
      <c r="O1067">
        <v>2394</v>
      </c>
      <c r="P1067">
        <v>2021.3927999999999</v>
      </c>
    </row>
    <row r="1068" spans="1:16" x14ac:dyDescent="0.3">
      <c r="A1068" s="1">
        <v>45870</v>
      </c>
      <c r="B1068" s="2" t="s">
        <v>56</v>
      </c>
      <c r="C1068" s="2" t="s">
        <v>57</v>
      </c>
      <c r="D1068" s="2" t="s">
        <v>46</v>
      </c>
      <c r="E1068" s="2" t="s">
        <v>51</v>
      </c>
      <c r="F1068" s="2" t="s">
        <v>48</v>
      </c>
      <c r="G1068" s="2" t="s">
        <v>116</v>
      </c>
      <c r="H1068">
        <v>1</v>
      </c>
      <c r="I1068">
        <v>6</v>
      </c>
      <c r="J1068">
        <v>125.91</v>
      </c>
      <c r="K1068">
        <v>0.08</v>
      </c>
      <c r="L1068">
        <v>63</v>
      </c>
      <c r="M1068">
        <v>755.46</v>
      </c>
      <c r="N1068">
        <v>695.02320000000009</v>
      </c>
      <c r="O1068">
        <v>378</v>
      </c>
      <c r="P1068">
        <v>317.02320000000009</v>
      </c>
    </row>
    <row r="1069" spans="1:16" x14ac:dyDescent="0.3">
      <c r="A1069" s="1">
        <v>45870</v>
      </c>
      <c r="B1069" s="2" t="s">
        <v>39</v>
      </c>
      <c r="C1069" s="2" t="s">
        <v>54</v>
      </c>
      <c r="D1069" s="2" t="s">
        <v>50</v>
      </c>
      <c r="E1069" s="2" t="s">
        <v>47</v>
      </c>
      <c r="F1069" s="2" t="s">
        <v>43</v>
      </c>
      <c r="G1069" s="2" t="s">
        <v>94</v>
      </c>
      <c r="H1069">
        <v>1</v>
      </c>
      <c r="I1069">
        <v>1</v>
      </c>
      <c r="J1069">
        <v>838.18</v>
      </c>
      <c r="K1069">
        <v>0</v>
      </c>
      <c r="L1069">
        <v>520</v>
      </c>
      <c r="M1069">
        <v>838.18</v>
      </c>
      <c r="N1069">
        <v>838.18</v>
      </c>
      <c r="O1069">
        <v>520</v>
      </c>
      <c r="P1069">
        <v>318.17999999999995</v>
      </c>
    </row>
    <row r="1070" spans="1:16" x14ac:dyDescent="0.3">
      <c r="A1070" s="1">
        <v>45870</v>
      </c>
      <c r="B1070" s="2" t="s">
        <v>39</v>
      </c>
      <c r="C1070" s="2" t="s">
        <v>45</v>
      </c>
      <c r="D1070" s="2" t="s">
        <v>50</v>
      </c>
      <c r="E1070" s="2" t="s">
        <v>42</v>
      </c>
      <c r="F1070" s="2" t="s">
        <v>43</v>
      </c>
      <c r="G1070" s="2" t="s">
        <v>53</v>
      </c>
      <c r="H1070">
        <v>1</v>
      </c>
      <c r="I1070">
        <v>3</v>
      </c>
      <c r="J1070">
        <v>291.37</v>
      </c>
      <c r="K1070">
        <v>0.05</v>
      </c>
      <c r="L1070">
        <v>182</v>
      </c>
      <c r="M1070">
        <v>874.11</v>
      </c>
      <c r="N1070">
        <v>830.40449999999998</v>
      </c>
      <c r="O1070">
        <v>546</v>
      </c>
      <c r="P1070">
        <v>284.40449999999998</v>
      </c>
    </row>
    <row r="1071" spans="1:16" x14ac:dyDescent="0.3">
      <c r="A1071" s="1">
        <v>45870</v>
      </c>
      <c r="B1071" s="2" t="s">
        <v>39</v>
      </c>
      <c r="C1071" s="2" t="s">
        <v>92</v>
      </c>
      <c r="D1071" s="2" t="s">
        <v>41</v>
      </c>
      <c r="E1071" s="2" t="s">
        <v>47</v>
      </c>
      <c r="F1071" s="2" t="s">
        <v>48</v>
      </c>
      <c r="G1071" s="2" t="s">
        <v>111</v>
      </c>
      <c r="H1071">
        <v>1</v>
      </c>
      <c r="I1071">
        <v>1</v>
      </c>
      <c r="J1071">
        <v>76.489999999999995</v>
      </c>
      <c r="K1071">
        <v>0</v>
      </c>
      <c r="L1071">
        <v>31</v>
      </c>
      <c r="M1071">
        <v>76.489999999999995</v>
      </c>
      <c r="N1071">
        <v>76.489999999999995</v>
      </c>
      <c r="O1071">
        <v>31</v>
      </c>
      <c r="P1071">
        <v>45.489999999999995</v>
      </c>
    </row>
    <row r="1072" spans="1:16" x14ac:dyDescent="0.3">
      <c r="A1072" s="1">
        <v>45870</v>
      </c>
      <c r="B1072" s="2" t="s">
        <v>56</v>
      </c>
      <c r="C1072" s="2" t="s">
        <v>72</v>
      </c>
      <c r="D1072" s="2" t="s">
        <v>50</v>
      </c>
      <c r="E1072" s="2" t="s">
        <v>47</v>
      </c>
      <c r="F1072" s="2" t="s">
        <v>48</v>
      </c>
      <c r="G1072" s="2" t="s">
        <v>221</v>
      </c>
      <c r="H1072">
        <v>1</v>
      </c>
      <c r="I1072">
        <v>6</v>
      </c>
      <c r="J1072">
        <v>141.13</v>
      </c>
      <c r="K1072">
        <v>0.08</v>
      </c>
      <c r="L1072">
        <v>63</v>
      </c>
      <c r="M1072">
        <v>846.78</v>
      </c>
      <c r="N1072">
        <v>779.0376</v>
      </c>
      <c r="O1072">
        <v>378</v>
      </c>
      <c r="P1072">
        <v>401.0376</v>
      </c>
    </row>
    <row r="1073" spans="1:16" x14ac:dyDescent="0.3">
      <c r="A1073" s="1">
        <v>45870</v>
      </c>
      <c r="B1073" s="2" t="s">
        <v>39</v>
      </c>
      <c r="C1073" s="2" t="s">
        <v>78</v>
      </c>
      <c r="D1073" s="2" t="s">
        <v>41</v>
      </c>
      <c r="E1073" s="2" t="s">
        <v>51</v>
      </c>
      <c r="F1073" s="2" t="s">
        <v>48</v>
      </c>
      <c r="G1073" s="2" t="s">
        <v>58</v>
      </c>
      <c r="H1073">
        <v>1</v>
      </c>
      <c r="I1073">
        <v>11</v>
      </c>
      <c r="J1073">
        <v>21.8</v>
      </c>
      <c r="K1073">
        <v>0</v>
      </c>
      <c r="L1073">
        <v>8</v>
      </c>
      <c r="M1073">
        <v>239.8</v>
      </c>
      <c r="N1073">
        <v>239.8</v>
      </c>
      <c r="O1073">
        <v>88</v>
      </c>
      <c r="P1073">
        <v>151.80000000000001</v>
      </c>
    </row>
    <row r="1074" spans="1:16" x14ac:dyDescent="0.3">
      <c r="A1074" s="1">
        <v>45870</v>
      </c>
      <c r="B1074" s="2" t="s">
        <v>39</v>
      </c>
      <c r="C1074" s="2" t="s">
        <v>45</v>
      </c>
      <c r="D1074" s="2" t="s">
        <v>46</v>
      </c>
      <c r="E1074" s="2" t="s">
        <v>42</v>
      </c>
      <c r="F1074" s="2" t="s">
        <v>48</v>
      </c>
      <c r="G1074" s="2" t="s">
        <v>49</v>
      </c>
      <c r="H1074">
        <v>1</v>
      </c>
      <c r="I1074">
        <v>1</v>
      </c>
      <c r="J1074">
        <v>73.02</v>
      </c>
      <c r="K1074">
        <v>0.1</v>
      </c>
      <c r="L1074">
        <v>31</v>
      </c>
      <c r="M1074">
        <v>73.02</v>
      </c>
      <c r="N1074">
        <v>65.718000000000004</v>
      </c>
      <c r="O1074">
        <v>31</v>
      </c>
      <c r="P1074">
        <v>34.718000000000004</v>
      </c>
    </row>
    <row r="1075" spans="1:16" x14ac:dyDescent="0.3">
      <c r="A1075" s="1">
        <v>45870</v>
      </c>
      <c r="B1075" s="2" t="s">
        <v>83</v>
      </c>
      <c r="C1075" s="2" t="s">
        <v>164</v>
      </c>
      <c r="D1075" s="2" t="s">
        <v>50</v>
      </c>
      <c r="E1075" s="2" t="s">
        <v>42</v>
      </c>
      <c r="F1075" s="2" t="s">
        <v>52</v>
      </c>
      <c r="G1075" s="2" t="s">
        <v>211</v>
      </c>
      <c r="H1075">
        <v>1</v>
      </c>
      <c r="I1075">
        <v>2</v>
      </c>
      <c r="J1075">
        <v>209.56</v>
      </c>
      <c r="K1075">
        <v>0.05</v>
      </c>
      <c r="L1075">
        <v>124</v>
      </c>
      <c r="M1075">
        <v>419.12</v>
      </c>
      <c r="N1075">
        <v>398.16399999999999</v>
      </c>
      <c r="O1075">
        <v>248</v>
      </c>
      <c r="P1075">
        <v>150.16399999999999</v>
      </c>
    </row>
    <row r="1076" spans="1:16" x14ac:dyDescent="0.3">
      <c r="A1076" s="1">
        <v>45870</v>
      </c>
      <c r="B1076" s="2" t="s">
        <v>75</v>
      </c>
      <c r="C1076" s="2" t="s">
        <v>106</v>
      </c>
      <c r="D1076" s="2" t="s">
        <v>41</v>
      </c>
      <c r="E1076" s="2" t="s">
        <v>42</v>
      </c>
      <c r="F1076" s="2" t="s">
        <v>43</v>
      </c>
      <c r="G1076" s="2" t="s">
        <v>132</v>
      </c>
      <c r="H1076">
        <v>1</v>
      </c>
      <c r="I1076">
        <v>3</v>
      </c>
      <c r="J1076">
        <v>600.41</v>
      </c>
      <c r="K1076">
        <v>0</v>
      </c>
      <c r="L1076">
        <v>395</v>
      </c>
      <c r="M1076">
        <v>1801.23</v>
      </c>
      <c r="N1076">
        <v>1801.23</v>
      </c>
      <c r="O1076">
        <v>1185</v>
      </c>
      <c r="P1076">
        <v>616.23</v>
      </c>
    </row>
    <row r="1077" spans="1:16" x14ac:dyDescent="0.3">
      <c r="A1077" s="1">
        <v>45870</v>
      </c>
      <c r="B1077" s="2" t="s">
        <v>65</v>
      </c>
      <c r="C1077" s="2" t="s">
        <v>80</v>
      </c>
      <c r="D1077" s="2" t="s">
        <v>50</v>
      </c>
      <c r="E1077" s="2" t="s">
        <v>42</v>
      </c>
      <c r="F1077" s="2" t="s">
        <v>48</v>
      </c>
      <c r="G1077" s="2" t="s">
        <v>81</v>
      </c>
      <c r="H1077">
        <v>1</v>
      </c>
      <c r="I1077">
        <v>1</v>
      </c>
      <c r="J1077">
        <v>70.44</v>
      </c>
      <c r="K1077">
        <v>0.08</v>
      </c>
      <c r="L1077">
        <v>31</v>
      </c>
      <c r="M1077">
        <v>70.44</v>
      </c>
      <c r="N1077">
        <v>64.8048</v>
      </c>
      <c r="O1077">
        <v>31</v>
      </c>
      <c r="P1077">
        <v>33.8048</v>
      </c>
    </row>
    <row r="1078" spans="1:16" x14ac:dyDescent="0.3">
      <c r="A1078" s="1">
        <v>45870</v>
      </c>
      <c r="B1078" s="2" t="s">
        <v>39</v>
      </c>
      <c r="C1078" s="2" t="s">
        <v>88</v>
      </c>
      <c r="D1078" s="2" t="s">
        <v>95</v>
      </c>
      <c r="E1078" s="2" t="s">
        <v>47</v>
      </c>
      <c r="F1078" s="2" t="s">
        <v>52</v>
      </c>
      <c r="G1078" s="2" t="s">
        <v>204</v>
      </c>
      <c r="H1078">
        <v>1</v>
      </c>
      <c r="I1078">
        <v>4</v>
      </c>
      <c r="J1078">
        <v>219.77</v>
      </c>
      <c r="K1078">
        <v>0.05</v>
      </c>
      <c r="L1078">
        <v>124</v>
      </c>
      <c r="M1078">
        <v>879.08</v>
      </c>
      <c r="N1078">
        <v>835.12599999999998</v>
      </c>
      <c r="O1078">
        <v>496</v>
      </c>
      <c r="P1078">
        <v>339.12599999999998</v>
      </c>
    </row>
    <row r="1079" spans="1:16" x14ac:dyDescent="0.3">
      <c r="A1079" s="1">
        <v>45870</v>
      </c>
      <c r="B1079" s="2" t="s">
        <v>56</v>
      </c>
      <c r="C1079" s="2" t="s">
        <v>57</v>
      </c>
      <c r="D1079" s="2" t="s">
        <v>50</v>
      </c>
      <c r="E1079" s="2" t="s">
        <v>42</v>
      </c>
      <c r="F1079" s="2" t="s">
        <v>43</v>
      </c>
      <c r="G1079" s="2" t="s">
        <v>150</v>
      </c>
      <c r="H1079">
        <v>2</v>
      </c>
      <c r="I1079">
        <v>31</v>
      </c>
      <c r="J1079">
        <v>644.42499999999995</v>
      </c>
      <c r="K1079">
        <v>7.5000000000000011E-2</v>
      </c>
      <c r="L1079">
        <v>407</v>
      </c>
      <c r="M1079">
        <v>4313.55</v>
      </c>
      <c r="N1079">
        <v>4038.6449999999995</v>
      </c>
      <c r="O1079">
        <v>2380</v>
      </c>
      <c r="P1079">
        <v>1658.6449999999998</v>
      </c>
    </row>
    <row r="1080" spans="1:16" x14ac:dyDescent="0.3">
      <c r="A1080" s="1">
        <v>45658</v>
      </c>
      <c r="B1080" s="2" t="s">
        <v>39</v>
      </c>
      <c r="C1080" s="2" t="s">
        <v>45</v>
      </c>
      <c r="D1080" s="2" t="s">
        <v>46</v>
      </c>
      <c r="E1080" s="2" t="s">
        <v>42</v>
      </c>
      <c r="F1080" s="2" t="s">
        <v>48</v>
      </c>
      <c r="G1080" s="2" t="s">
        <v>49</v>
      </c>
      <c r="H1080">
        <v>1</v>
      </c>
      <c r="I1080">
        <v>1</v>
      </c>
      <c r="J1080">
        <v>90.32</v>
      </c>
      <c r="K1080">
        <v>0.1</v>
      </c>
      <c r="L1080">
        <v>39</v>
      </c>
      <c r="M1080">
        <v>90.32</v>
      </c>
      <c r="N1080">
        <v>81.287999999999997</v>
      </c>
      <c r="O1080">
        <v>39</v>
      </c>
      <c r="P1080">
        <v>42.287999999999997</v>
      </c>
    </row>
    <row r="1081" spans="1:16" x14ac:dyDescent="0.3">
      <c r="A1081" s="1">
        <v>45870</v>
      </c>
      <c r="B1081" s="2" t="s">
        <v>65</v>
      </c>
      <c r="C1081" s="2" t="s">
        <v>66</v>
      </c>
      <c r="D1081" s="2" t="s">
        <v>50</v>
      </c>
      <c r="E1081" s="2" t="s">
        <v>47</v>
      </c>
      <c r="F1081" s="2" t="s">
        <v>48</v>
      </c>
      <c r="G1081" s="2" t="s">
        <v>220</v>
      </c>
      <c r="H1081">
        <v>1</v>
      </c>
      <c r="I1081">
        <v>4</v>
      </c>
      <c r="J1081">
        <v>24.46</v>
      </c>
      <c r="K1081">
        <v>0.05</v>
      </c>
      <c r="L1081">
        <v>8</v>
      </c>
      <c r="M1081">
        <v>97.84</v>
      </c>
      <c r="N1081">
        <v>92.947999999999993</v>
      </c>
      <c r="O1081">
        <v>32</v>
      </c>
      <c r="P1081">
        <v>60.947999999999993</v>
      </c>
    </row>
    <row r="1082" spans="1:16" x14ac:dyDescent="0.3">
      <c r="A1082" s="1">
        <v>45870</v>
      </c>
      <c r="B1082" s="2" t="s">
        <v>39</v>
      </c>
      <c r="C1082" s="2" t="s">
        <v>92</v>
      </c>
      <c r="D1082" s="2" t="s">
        <v>50</v>
      </c>
      <c r="E1082" s="2" t="s">
        <v>42</v>
      </c>
      <c r="F1082" s="2" t="s">
        <v>43</v>
      </c>
      <c r="G1082" s="2" t="s">
        <v>110</v>
      </c>
      <c r="H1082">
        <v>2</v>
      </c>
      <c r="I1082">
        <v>6</v>
      </c>
      <c r="J1082">
        <v>660.10000000000014</v>
      </c>
      <c r="K1082">
        <v>0.11</v>
      </c>
      <c r="L1082">
        <v>407</v>
      </c>
      <c r="M1082">
        <v>3960.6</v>
      </c>
      <c r="N1082">
        <v>3557.9364</v>
      </c>
      <c r="O1082">
        <v>2442</v>
      </c>
      <c r="P1082">
        <v>1115.9364</v>
      </c>
    </row>
    <row r="1083" spans="1:16" x14ac:dyDescent="0.3">
      <c r="A1083" s="1">
        <v>45870</v>
      </c>
      <c r="B1083" s="2" t="s">
        <v>56</v>
      </c>
      <c r="C1083" s="2" t="s">
        <v>72</v>
      </c>
      <c r="D1083" s="2" t="s">
        <v>41</v>
      </c>
      <c r="E1083" s="2" t="s">
        <v>42</v>
      </c>
      <c r="F1083" s="2" t="s">
        <v>43</v>
      </c>
      <c r="G1083" s="2" t="s">
        <v>175</v>
      </c>
      <c r="H1083">
        <v>1</v>
      </c>
      <c r="I1083">
        <v>1</v>
      </c>
      <c r="J1083">
        <v>109.74</v>
      </c>
      <c r="K1083">
        <v>0.05</v>
      </c>
      <c r="L1083">
        <v>54</v>
      </c>
      <c r="M1083">
        <v>109.74</v>
      </c>
      <c r="N1083">
        <v>104.25299999999999</v>
      </c>
      <c r="O1083">
        <v>54</v>
      </c>
      <c r="P1083">
        <v>50.252999999999986</v>
      </c>
    </row>
    <row r="1084" spans="1:16" x14ac:dyDescent="0.3">
      <c r="A1084" s="1">
        <v>45870</v>
      </c>
      <c r="B1084" s="2" t="s">
        <v>39</v>
      </c>
      <c r="C1084" s="2" t="s">
        <v>88</v>
      </c>
      <c r="D1084" s="2" t="s">
        <v>46</v>
      </c>
      <c r="E1084" s="2" t="s">
        <v>42</v>
      </c>
      <c r="F1084" s="2" t="s">
        <v>43</v>
      </c>
      <c r="G1084" s="2" t="s">
        <v>105</v>
      </c>
      <c r="H1084">
        <v>1</v>
      </c>
      <c r="I1084">
        <v>3</v>
      </c>
      <c r="J1084">
        <v>293.32</v>
      </c>
      <c r="K1084">
        <v>0.08</v>
      </c>
      <c r="L1084">
        <v>1820</v>
      </c>
      <c r="M1084">
        <v>879.96</v>
      </c>
      <c r="N1084">
        <v>809.56320000000005</v>
      </c>
      <c r="O1084">
        <v>5460</v>
      </c>
      <c r="P1084">
        <v>-4650.4367999999995</v>
      </c>
    </row>
    <row r="1085" spans="1:16" x14ac:dyDescent="0.3">
      <c r="A1085" s="1">
        <v>45870</v>
      </c>
      <c r="B1085" s="2" t="s">
        <v>39</v>
      </c>
      <c r="C1085" s="2" t="s">
        <v>88</v>
      </c>
      <c r="D1085" s="2" t="s">
        <v>41</v>
      </c>
      <c r="E1085" s="2" t="s">
        <v>47</v>
      </c>
      <c r="F1085" s="2" t="s">
        <v>48</v>
      </c>
      <c r="G1085" s="2" t="s">
        <v>181</v>
      </c>
      <c r="H1085">
        <v>1</v>
      </c>
      <c r="I1085">
        <v>5</v>
      </c>
      <c r="J1085">
        <v>139.94999999999999</v>
      </c>
      <c r="K1085">
        <v>0</v>
      </c>
      <c r="L1085">
        <v>63</v>
      </c>
      <c r="M1085">
        <v>699.75</v>
      </c>
      <c r="N1085">
        <v>699.75</v>
      </c>
      <c r="O1085">
        <v>315</v>
      </c>
      <c r="P1085">
        <v>384.75</v>
      </c>
    </row>
    <row r="1086" spans="1:16" x14ac:dyDescent="0.3">
      <c r="A1086" s="1">
        <v>45870</v>
      </c>
      <c r="B1086" s="2" t="s">
        <v>39</v>
      </c>
      <c r="C1086" s="2" t="s">
        <v>40</v>
      </c>
      <c r="D1086" s="2" t="s">
        <v>41</v>
      </c>
      <c r="E1086" s="2" t="s">
        <v>42</v>
      </c>
      <c r="F1086" s="2" t="s">
        <v>43</v>
      </c>
      <c r="G1086" s="2" t="s">
        <v>215</v>
      </c>
      <c r="H1086">
        <v>1</v>
      </c>
      <c r="I1086">
        <v>1</v>
      </c>
      <c r="J1086">
        <v>625.41</v>
      </c>
      <c r="K1086">
        <v>0</v>
      </c>
      <c r="L1086">
        <v>395</v>
      </c>
      <c r="M1086">
        <v>625.41</v>
      </c>
      <c r="N1086">
        <v>625.41</v>
      </c>
      <c r="O1086">
        <v>395</v>
      </c>
      <c r="P1086">
        <v>230.40999999999997</v>
      </c>
    </row>
    <row r="1087" spans="1:16" x14ac:dyDescent="0.3">
      <c r="A1087" s="1">
        <v>45870</v>
      </c>
      <c r="B1087" s="2" t="s">
        <v>39</v>
      </c>
      <c r="C1087" s="2" t="s">
        <v>40</v>
      </c>
      <c r="D1087" s="2" t="s">
        <v>46</v>
      </c>
      <c r="E1087" s="2" t="s">
        <v>47</v>
      </c>
      <c r="F1087" s="2" t="s">
        <v>48</v>
      </c>
      <c r="G1087" s="2" t="s">
        <v>207</v>
      </c>
      <c r="H1087">
        <v>1</v>
      </c>
      <c r="I1087">
        <v>6</v>
      </c>
      <c r="J1087">
        <v>75.599999999999994</v>
      </c>
      <c r="K1087">
        <v>0.08</v>
      </c>
      <c r="L1087">
        <v>31</v>
      </c>
      <c r="M1087">
        <v>453.59999999999997</v>
      </c>
      <c r="N1087">
        <v>417.31200000000001</v>
      </c>
      <c r="O1087">
        <v>186</v>
      </c>
      <c r="P1087">
        <v>231.31200000000001</v>
      </c>
    </row>
    <row r="1088" spans="1:16" x14ac:dyDescent="0.3">
      <c r="A1088" s="1">
        <v>45870</v>
      </c>
      <c r="B1088" s="2" t="s">
        <v>39</v>
      </c>
      <c r="C1088" s="2" t="s">
        <v>40</v>
      </c>
      <c r="D1088" s="2" t="s">
        <v>46</v>
      </c>
      <c r="E1088" s="2" t="s">
        <v>47</v>
      </c>
      <c r="F1088" s="2" t="s">
        <v>43</v>
      </c>
      <c r="G1088" s="2" t="s">
        <v>207</v>
      </c>
      <c r="H1088">
        <v>1</v>
      </c>
      <c r="I1088">
        <v>2</v>
      </c>
      <c r="J1088">
        <v>108.21</v>
      </c>
      <c r="K1088">
        <v>0.1</v>
      </c>
      <c r="L1088">
        <v>54</v>
      </c>
      <c r="M1088">
        <v>216.42</v>
      </c>
      <c r="N1088">
        <v>194.77799999999999</v>
      </c>
      <c r="O1088">
        <v>108</v>
      </c>
      <c r="P1088">
        <v>86.777999999999992</v>
      </c>
    </row>
    <row r="1089" spans="1:16" x14ac:dyDescent="0.3">
      <c r="A1089" s="1">
        <v>45870</v>
      </c>
      <c r="B1089" s="2" t="s">
        <v>197</v>
      </c>
      <c r="C1089" s="2" t="s">
        <v>45</v>
      </c>
      <c r="D1089" s="2" t="s">
        <v>50</v>
      </c>
      <c r="E1089" s="2" t="s">
        <v>51</v>
      </c>
      <c r="F1089" s="2" t="s">
        <v>52</v>
      </c>
      <c r="G1089" s="2" t="s">
        <v>226</v>
      </c>
      <c r="H1089">
        <v>1</v>
      </c>
      <c r="I1089">
        <v>6</v>
      </c>
      <c r="J1089">
        <v>192.52</v>
      </c>
      <c r="K1089">
        <v>0.12</v>
      </c>
      <c r="L1089">
        <v>124</v>
      </c>
      <c r="M1089">
        <v>1155.1200000000001</v>
      </c>
      <c r="N1089">
        <v>1016.5056000000001</v>
      </c>
      <c r="O1089">
        <v>744</v>
      </c>
      <c r="P1089">
        <v>272.50560000000007</v>
      </c>
    </row>
    <row r="1090" spans="1:16" x14ac:dyDescent="0.3">
      <c r="A1090" s="1">
        <v>45870</v>
      </c>
      <c r="B1090" s="2" t="s">
        <v>197</v>
      </c>
      <c r="C1090" s="2" t="s">
        <v>45</v>
      </c>
      <c r="D1090" s="2" t="s">
        <v>50</v>
      </c>
      <c r="E1090" s="2" t="s">
        <v>51</v>
      </c>
      <c r="F1090" s="2" t="s">
        <v>48</v>
      </c>
      <c r="G1090" s="2" t="s">
        <v>226</v>
      </c>
      <c r="H1090">
        <v>1</v>
      </c>
      <c r="I1090">
        <v>10</v>
      </c>
      <c r="J1090">
        <v>86.97</v>
      </c>
      <c r="K1090">
        <v>0.05</v>
      </c>
      <c r="L1090">
        <v>39</v>
      </c>
      <c r="M1090">
        <v>869.7</v>
      </c>
      <c r="N1090">
        <v>826.21500000000003</v>
      </c>
      <c r="O1090">
        <v>390</v>
      </c>
      <c r="P1090">
        <v>436.21500000000003</v>
      </c>
    </row>
    <row r="1091" spans="1:16" x14ac:dyDescent="0.3">
      <c r="A1091" s="1">
        <v>45870</v>
      </c>
      <c r="B1091" s="2" t="s">
        <v>197</v>
      </c>
      <c r="C1091" s="2" t="s">
        <v>45</v>
      </c>
      <c r="D1091" s="2" t="s">
        <v>50</v>
      </c>
      <c r="E1091" s="2" t="s">
        <v>51</v>
      </c>
      <c r="F1091" s="2" t="s">
        <v>43</v>
      </c>
      <c r="G1091" s="2" t="s">
        <v>226</v>
      </c>
      <c r="H1091">
        <v>1</v>
      </c>
      <c r="I1091">
        <v>6</v>
      </c>
      <c r="J1091">
        <v>1044.53</v>
      </c>
      <c r="K1091">
        <v>0.12</v>
      </c>
      <c r="L1091">
        <v>760</v>
      </c>
      <c r="M1091">
        <v>6267.18</v>
      </c>
      <c r="N1091">
        <v>5515.1184000000003</v>
      </c>
      <c r="O1091">
        <v>4560</v>
      </c>
      <c r="P1091">
        <v>955.11840000000029</v>
      </c>
    </row>
    <row r="1092" spans="1:16" x14ac:dyDescent="0.3">
      <c r="A1092" s="1">
        <v>45870</v>
      </c>
      <c r="B1092" s="2" t="s">
        <v>39</v>
      </c>
      <c r="C1092" s="2" t="s">
        <v>92</v>
      </c>
      <c r="D1092" s="2" t="s">
        <v>46</v>
      </c>
      <c r="E1092" s="2" t="s">
        <v>42</v>
      </c>
      <c r="F1092" s="2" t="s">
        <v>43</v>
      </c>
      <c r="G1092" s="2" t="s">
        <v>166</v>
      </c>
      <c r="H1092">
        <v>1</v>
      </c>
      <c r="I1092">
        <v>2</v>
      </c>
      <c r="J1092">
        <v>630.71</v>
      </c>
      <c r="K1092">
        <v>0.08</v>
      </c>
      <c r="L1092">
        <v>395</v>
      </c>
      <c r="M1092">
        <v>1261.42</v>
      </c>
      <c r="N1092">
        <v>1160.5064000000002</v>
      </c>
      <c r="O1092">
        <v>790</v>
      </c>
      <c r="P1092">
        <v>370.50640000000021</v>
      </c>
    </row>
    <row r="1093" spans="1:16" x14ac:dyDescent="0.3">
      <c r="A1093" s="1">
        <v>45870</v>
      </c>
      <c r="B1093" s="2" t="s">
        <v>39</v>
      </c>
      <c r="C1093" s="2" t="s">
        <v>92</v>
      </c>
      <c r="D1093" s="2" t="s">
        <v>46</v>
      </c>
      <c r="E1093" s="2" t="s">
        <v>47</v>
      </c>
      <c r="F1093" s="2" t="s">
        <v>43</v>
      </c>
      <c r="G1093" s="2" t="s">
        <v>169</v>
      </c>
      <c r="H1093">
        <v>3</v>
      </c>
      <c r="I1093">
        <v>9</v>
      </c>
      <c r="J1093">
        <v>378.36</v>
      </c>
      <c r="K1093">
        <v>0.11333333333333333</v>
      </c>
      <c r="L1093">
        <v>221</v>
      </c>
      <c r="M1093">
        <v>3746.4100000000003</v>
      </c>
      <c r="N1093">
        <v>3348.7087999999999</v>
      </c>
      <c r="O1093">
        <v>2202</v>
      </c>
      <c r="P1093">
        <v>1146.7087999999999</v>
      </c>
    </row>
    <row r="1094" spans="1:16" x14ac:dyDescent="0.3">
      <c r="A1094" s="1">
        <v>45870</v>
      </c>
      <c r="B1094" s="2" t="s">
        <v>65</v>
      </c>
      <c r="C1094" s="2" t="s">
        <v>66</v>
      </c>
      <c r="D1094" s="2" t="s">
        <v>50</v>
      </c>
      <c r="E1094" s="2" t="s">
        <v>42</v>
      </c>
      <c r="F1094" s="2" t="s">
        <v>52</v>
      </c>
      <c r="G1094" s="2" t="s">
        <v>220</v>
      </c>
      <c r="H1094">
        <v>1</v>
      </c>
      <c r="I1094">
        <v>3</v>
      </c>
      <c r="J1094">
        <v>42.05</v>
      </c>
      <c r="K1094">
        <v>0.1</v>
      </c>
      <c r="L1094">
        <v>18</v>
      </c>
      <c r="M1094">
        <v>126.14999999999999</v>
      </c>
      <c r="N1094">
        <v>113.535</v>
      </c>
      <c r="O1094">
        <v>54</v>
      </c>
      <c r="P1094">
        <v>59.534999999999997</v>
      </c>
    </row>
    <row r="1095" spans="1:16" x14ac:dyDescent="0.3">
      <c r="A1095" s="1">
        <v>45870</v>
      </c>
      <c r="B1095" s="2" t="s">
        <v>39</v>
      </c>
      <c r="C1095" s="2" t="s">
        <v>92</v>
      </c>
      <c r="D1095" s="2" t="s">
        <v>41</v>
      </c>
      <c r="E1095" s="2" t="s">
        <v>42</v>
      </c>
      <c r="F1095" s="2" t="s">
        <v>52</v>
      </c>
      <c r="G1095" s="2" t="s">
        <v>148</v>
      </c>
      <c r="H1095">
        <v>1</v>
      </c>
      <c r="I1095">
        <v>2</v>
      </c>
      <c r="J1095">
        <v>42.83</v>
      </c>
      <c r="K1095">
        <v>0</v>
      </c>
      <c r="L1095">
        <v>18</v>
      </c>
      <c r="M1095">
        <v>85.66</v>
      </c>
      <c r="N1095">
        <v>85.66</v>
      </c>
      <c r="O1095">
        <v>36</v>
      </c>
      <c r="P1095">
        <v>49.66</v>
      </c>
    </row>
    <row r="1096" spans="1:16" x14ac:dyDescent="0.3">
      <c r="A1096" s="1">
        <v>45870</v>
      </c>
      <c r="B1096" s="2" t="s">
        <v>39</v>
      </c>
      <c r="C1096" s="2" t="s">
        <v>92</v>
      </c>
      <c r="D1096" s="2" t="s">
        <v>41</v>
      </c>
      <c r="E1096" s="2" t="s">
        <v>42</v>
      </c>
      <c r="F1096" s="2" t="s">
        <v>43</v>
      </c>
      <c r="G1096" s="2" t="s">
        <v>148</v>
      </c>
      <c r="H1096">
        <v>1</v>
      </c>
      <c r="I1096">
        <v>2</v>
      </c>
      <c r="J1096">
        <v>106.46</v>
      </c>
      <c r="K1096">
        <v>0</v>
      </c>
      <c r="L1096">
        <v>54</v>
      </c>
      <c r="M1096">
        <v>212.92</v>
      </c>
      <c r="N1096">
        <v>212.92</v>
      </c>
      <c r="O1096">
        <v>108</v>
      </c>
      <c r="P1096">
        <v>104.91999999999999</v>
      </c>
    </row>
    <row r="1097" spans="1:16" x14ac:dyDescent="0.3">
      <c r="A1097" s="1">
        <v>45870</v>
      </c>
      <c r="B1097" s="2" t="s">
        <v>39</v>
      </c>
      <c r="C1097" s="2" t="s">
        <v>40</v>
      </c>
      <c r="D1097" s="2" t="s">
        <v>46</v>
      </c>
      <c r="E1097" s="2" t="s">
        <v>42</v>
      </c>
      <c r="F1097" s="2" t="s">
        <v>48</v>
      </c>
      <c r="G1097" s="2" t="s">
        <v>167</v>
      </c>
      <c r="H1097">
        <v>1</v>
      </c>
      <c r="I1097">
        <v>1</v>
      </c>
      <c r="J1097">
        <v>23.01</v>
      </c>
      <c r="K1097">
        <v>0.1</v>
      </c>
      <c r="L1097">
        <v>8</v>
      </c>
      <c r="M1097">
        <v>23.01</v>
      </c>
      <c r="N1097">
        <v>20.709000000000003</v>
      </c>
      <c r="O1097">
        <v>8</v>
      </c>
      <c r="P1097">
        <v>12.709000000000003</v>
      </c>
    </row>
    <row r="1098" spans="1:16" x14ac:dyDescent="0.3">
      <c r="A1098" s="1">
        <v>45870</v>
      </c>
      <c r="B1098" s="2" t="s">
        <v>39</v>
      </c>
      <c r="C1098" s="2" t="s">
        <v>45</v>
      </c>
      <c r="D1098" s="2" t="s">
        <v>50</v>
      </c>
      <c r="E1098" s="2" t="s">
        <v>47</v>
      </c>
      <c r="F1098" s="2" t="s">
        <v>52</v>
      </c>
      <c r="G1098" s="2" t="s">
        <v>209</v>
      </c>
      <c r="H1098">
        <v>1</v>
      </c>
      <c r="I1098">
        <v>3</v>
      </c>
      <c r="J1098">
        <v>217.15</v>
      </c>
      <c r="K1098">
        <v>0.12</v>
      </c>
      <c r="L1098">
        <v>124</v>
      </c>
      <c r="M1098">
        <v>651.45000000000005</v>
      </c>
      <c r="N1098">
        <v>573.27600000000007</v>
      </c>
      <c r="O1098">
        <v>372</v>
      </c>
      <c r="P1098">
        <v>201.27600000000007</v>
      </c>
    </row>
    <row r="1099" spans="1:16" x14ac:dyDescent="0.3">
      <c r="A1099" s="1">
        <v>45870</v>
      </c>
      <c r="B1099" s="2" t="s">
        <v>65</v>
      </c>
      <c r="C1099" s="2" t="s">
        <v>66</v>
      </c>
      <c r="D1099" s="2" t="s">
        <v>41</v>
      </c>
      <c r="E1099" s="2" t="s">
        <v>42</v>
      </c>
      <c r="F1099" s="2" t="s">
        <v>52</v>
      </c>
      <c r="G1099" s="2" t="s">
        <v>176</v>
      </c>
      <c r="H1099">
        <v>2</v>
      </c>
      <c r="I1099">
        <v>3</v>
      </c>
      <c r="J1099">
        <v>211.68</v>
      </c>
      <c r="K1099">
        <v>0</v>
      </c>
      <c r="L1099">
        <v>124</v>
      </c>
      <c r="M1099">
        <v>631.78</v>
      </c>
      <c r="N1099">
        <v>631.78</v>
      </c>
      <c r="O1099">
        <v>372</v>
      </c>
      <c r="P1099">
        <v>259.77999999999997</v>
      </c>
    </row>
    <row r="1100" spans="1:16" x14ac:dyDescent="0.3">
      <c r="A1100" s="1">
        <v>45870</v>
      </c>
      <c r="B1100" s="2" t="s">
        <v>39</v>
      </c>
      <c r="C1100" s="2" t="s">
        <v>88</v>
      </c>
      <c r="D1100" s="2" t="s">
        <v>41</v>
      </c>
      <c r="E1100" s="2" t="s">
        <v>47</v>
      </c>
      <c r="F1100" s="2" t="s">
        <v>43</v>
      </c>
      <c r="G1100" s="2" t="s">
        <v>203</v>
      </c>
      <c r="H1100">
        <v>1</v>
      </c>
      <c r="I1100">
        <v>1</v>
      </c>
      <c r="J1100">
        <v>110.23</v>
      </c>
      <c r="K1100">
        <v>0</v>
      </c>
      <c r="L1100">
        <v>54</v>
      </c>
      <c r="M1100">
        <v>110.23</v>
      </c>
      <c r="N1100">
        <v>110.23</v>
      </c>
      <c r="O1100">
        <v>54</v>
      </c>
      <c r="P1100">
        <v>56.230000000000004</v>
      </c>
    </row>
    <row r="1101" spans="1:16" x14ac:dyDescent="0.3">
      <c r="A1101" s="1">
        <v>45870</v>
      </c>
      <c r="B1101" s="2" t="s">
        <v>39</v>
      </c>
      <c r="C1101" s="2" t="s">
        <v>152</v>
      </c>
      <c r="D1101" s="2" t="s">
        <v>41</v>
      </c>
      <c r="E1101" s="2" t="s">
        <v>51</v>
      </c>
      <c r="F1101" s="2" t="s">
        <v>52</v>
      </c>
      <c r="G1101" s="2" t="s">
        <v>153</v>
      </c>
      <c r="H1101">
        <v>1</v>
      </c>
      <c r="I1101">
        <v>3</v>
      </c>
      <c r="J1101">
        <v>38.200000000000003</v>
      </c>
      <c r="K1101">
        <v>0.1</v>
      </c>
      <c r="L1101">
        <v>18</v>
      </c>
      <c r="M1101">
        <v>114.60000000000001</v>
      </c>
      <c r="N1101">
        <v>103.14000000000001</v>
      </c>
      <c r="O1101">
        <v>54</v>
      </c>
      <c r="P1101">
        <v>49.140000000000015</v>
      </c>
    </row>
    <row r="1102" spans="1:16" x14ac:dyDescent="0.3">
      <c r="A1102" s="1">
        <v>45870</v>
      </c>
      <c r="B1102" s="2" t="s">
        <v>39</v>
      </c>
      <c r="C1102" s="2" t="s">
        <v>152</v>
      </c>
      <c r="D1102" s="2" t="s">
        <v>41</v>
      </c>
      <c r="E1102" s="2" t="s">
        <v>51</v>
      </c>
      <c r="F1102" s="2" t="s">
        <v>48</v>
      </c>
      <c r="G1102" s="2" t="s">
        <v>153</v>
      </c>
      <c r="H1102">
        <v>1</v>
      </c>
      <c r="I1102">
        <v>13</v>
      </c>
      <c r="J1102">
        <v>119.65</v>
      </c>
      <c r="K1102">
        <v>0.1</v>
      </c>
      <c r="L1102">
        <v>63</v>
      </c>
      <c r="M1102">
        <v>1555.45</v>
      </c>
      <c r="N1102">
        <v>1399.905</v>
      </c>
      <c r="O1102">
        <v>819</v>
      </c>
      <c r="P1102">
        <v>580.90499999999997</v>
      </c>
    </row>
    <row r="1103" spans="1:16" x14ac:dyDescent="0.3">
      <c r="A1103" s="1">
        <v>45870</v>
      </c>
      <c r="B1103" s="2" t="s">
        <v>39</v>
      </c>
      <c r="C1103" s="2" t="s">
        <v>152</v>
      </c>
      <c r="D1103" s="2" t="s">
        <v>41</v>
      </c>
      <c r="E1103" s="2" t="s">
        <v>47</v>
      </c>
      <c r="F1103" s="2" t="s">
        <v>43</v>
      </c>
      <c r="G1103" s="2" t="s">
        <v>153</v>
      </c>
      <c r="H1103">
        <v>1</v>
      </c>
      <c r="I1103">
        <v>3</v>
      </c>
      <c r="J1103">
        <v>112.73</v>
      </c>
      <c r="K1103">
        <v>0</v>
      </c>
      <c r="L1103">
        <v>54</v>
      </c>
      <c r="M1103">
        <v>338.19</v>
      </c>
      <c r="N1103">
        <v>338.19</v>
      </c>
      <c r="O1103">
        <v>162</v>
      </c>
      <c r="P1103">
        <v>176.19</v>
      </c>
    </row>
    <row r="1104" spans="1:16" x14ac:dyDescent="0.3">
      <c r="A1104" s="1">
        <v>45870</v>
      </c>
      <c r="B1104" s="2" t="s">
        <v>56</v>
      </c>
      <c r="C1104" s="2" t="s">
        <v>57</v>
      </c>
      <c r="D1104" s="2" t="s">
        <v>46</v>
      </c>
      <c r="E1104" s="2" t="s">
        <v>42</v>
      </c>
      <c r="F1104" s="2" t="s">
        <v>43</v>
      </c>
      <c r="G1104" s="2" t="s">
        <v>112</v>
      </c>
      <c r="H1104">
        <v>1</v>
      </c>
      <c r="I1104">
        <v>10</v>
      </c>
      <c r="J1104">
        <v>286.11</v>
      </c>
      <c r="K1104">
        <v>0.08</v>
      </c>
      <c r="L1104">
        <v>182</v>
      </c>
      <c r="M1104">
        <v>2861.1000000000004</v>
      </c>
      <c r="N1104">
        <v>2632.2120000000004</v>
      </c>
      <c r="O1104">
        <v>1820</v>
      </c>
      <c r="P1104">
        <v>812.21200000000044</v>
      </c>
    </row>
    <row r="1105" spans="1:16" x14ac:dyDescent="0.3">
      <c r="A1105" s="1">
        <v>45870</v>
      </c>
      <c r="B1105" s="2" t="s">
        <v>39</v>
      </c>
      <c r="C1105" s="2" t="s">
        <v>92</v>
      </c>
      <c r="D1105" s="2" t="s">
        <v>41</v>
      </c>
      <c r="E1105" s="2" t="s">
        <v>51</v>
      </c>
      <c r="F1105" s="2" t="s">
        <v>48</v>
      </c>
      <c r="G1105" s="2" t="s">
        <v>225</v>
      </c>
      <c r="H1105">
        <v>1</v>
      </c>
      <c r="I1105">
        <v>10</v>
      </c>
      <c r="J1105">
        <v>20.8</v>
      </c>
      <c r="K1105">
        <v>0</v>
      </c>
      <c r="L1105">
        <v>8</v>
      </c>
      <c r="M1105">
        <v>208</v>
      </c>
      <c r="N1105">
        <v>208</v>
      </c>
      <c r="O1105">
        <v>80</v>
      </c>
      <c r="P1105">
        <v>128</v>
      </c>
    </row>
    <row r="1106" spans="1:16" x14ac:dyDescent="0.3">
      <c r="A1106" s="1">
        <v>45870</v>
      </c>
      <c r="B1106" s="2" t="s">
        <v>75</v>
      </c>
      <c r="C1106" s="2" t="s">
        <v>101</v>
      </c>
      <c r="D1106" s="2" t="s">
        <v>50</v>
      </c>
      <c r="E1106" s="2" t="s">
        <v>47</v>
      </c>
      <c r="F1106" s="2" t="s">
        <v>48</v>
      </c>
      <c r="G1106" s="2" t="s">
        <v>162</v>
      </c>
      <c r="H1106">
        <v>1</v>
      </c>
      <c r="I1106">
        <v>1</v>
      </c>
      <c r="J1106">
        <v>24.1</v>
      </c>
      <c r="K1106">
        <v>0.05</v>
      </c>
      <c r="L1106">
        <v>8</v>
      </c>
      <c r="M1106">
        <v>24.1</v>
      </c>
      <c r="N1106">
        <v>22.895</v>
      </c>
      <c r="O1106">
        <v>8</v>
      </c>
      <c r="P1106">
        <v>14.895</v>
      </c>
    </row>
    <row r="1107" spans="1:16" x14ac:dyDescent="0.3">
      <c r="A1107" s="1">
        <v>45870</v>
      </c>
      <c r="B1107" s="2" t="s">
        <v>75</v>
      </c>
      <c r="C1107" s="2" t="s">
        <v>76</v>
      </c>
      <c r="D1107" s="2" t="s">
        <v>50</v>
      </c>
      <c r="E1107" s="2" t="s">
        <v>42</v>
      </c>
      <c r="F1107" s="2" t="s">
        <v>43</v>
      </c>
      <c r="G1107" s="2" t="s">
        <v>142</v>
      </c>
      <c r="H1107">
        <v>1</v>
      </c>
      <c r="I1107">
        <v>3</v>
      </c>
      <c r="J1107">
        <v>1198.3699999999999</v>
      </c>
      <c r="K1107">
        <v>0.12</v>
      </c>
      <c r="L1107">
        <v>760</v>
      </c>
      <c r="M1107">
        <v>3595.1099999999997</v>
      </c>
      <c r="N1107">
        <v>3163.6967999999997</v>
      </c>
      <c r="O1107">
        <v>2280</v>
      </c>
      <c r="P1107">
        <v>883.69679999999971</v>
      </c>
    </row>
    <row r="1108" spans="1:16" x14ac:dyDescent="0.3">
      <c r="A1108" s="1">
        <v>45870</v>
      </c>
      <c r="B1108" s="2" t="s">
        <v>39</v>
      </c>
      <c r="C1108" s="2" t="s">
        <v>45</v>
      </c>
      <c r="D1108" s="2" t="s">
        <v>46</v>
      </c>
      <c r="E1108" s="2" t="s">
        <v>42</v>
      </c>
      <c r="F1108" s="2" t="s">
        <v>48</v>
      </c>
      <c r="G1108" s="2" t="s">
        <v>90</v>
      </c>
      <c r="H1108">
        <v>1</v>
      </c>
      <c r="I1108">
        <v>4</v>
      </c>
      <c r="J1108">
        <v>137.78</v>
      </c>
      <c r="K1108">
        <v>0.05</v>
      </c>
      <c r="L1108">
        <v>63</v>
      </c>
      <c r="M1108">
        <v>551.12</v>
      </c>
      <c r="N1108">
        <v>523.56399999999996</v>
      </c>
      <c r="O1108">
        <v>252</v>
      </c>
      <c r="P1108">
        <v>271.56399999999996</v>
      </c>
    </row>
    <row r="1109" spans="1:16" x14ac:dyDescent="0.3">
      <c r="A1109" s="1">
        <v>45870</v>
      </c>
      <c r="B1109" s="2" t="s">
        <v>83</v>
      </c>
      <c r="C1109" s="2" t="s">
        <v>84</v>
      </c>
      <c r="D1109" s="2" t="s">
        <v>41</v>
      </c>
      <c r="E1109" s="2" t="s">
        <v>47</v>
      </c>
      <c r="F1109" s="2" t="s">
        <v>43</v>
      </c>
      <c r="G1109" s="2" t="s">
        <v>160</v>
      </c>
      <c r="H1109">
        <v>2</v>
      </c>
      <c r="I1109">
        <v>4</v>
      </c>
      <c r="J1109">
        <v>1050.635</v>
      </c>
      <c r="K1109">
        <v>0</v>
      </c>
      <c r="L1109">
        <v>640</v>
      </c>
      <c r="M1109">
        <v>4549.05</v>
      </c>
      <c r="N1109">
        <v>4549.05</v>
      </c>
      <c r="O1109">
        <v>2800</v>
      </c>
      <c r="P1109">
        <v>1749.0500000000002</v>
      </c>
    </row>
    <row r="1110" spans="1:16" x14ac:dyDescent="0.3">
      <c r="A1110" s="1">
        <v>45992</v>
      </c>
      <c r="B1110" s="2" t="s">
        <v>65</v>
      </c>
      <c r="C1110" s="2" t="s">
        <v>66</v>
      </c>
      <c r="D1110" s="2" t="s">
        <v>41</v>
      </c>
      <c r="E1110" s="2" t="s">
        <v>47</v>
      </c>
      <c r="F1110" s="2" t="s">
        <v>52</v>
      </c>
      <c r="G1110" s="2" t="s">
        <v>67</v>
      </c>
      <c r="H1110">
        <v>1</v>
      </c>
      <c r="I1110">
        <v>3</v>
      </c>
      <c r="J1110">
        <v>220.07</v>
      </c>
      <c r="K1110">
        <v>0.05</v>
      </c>
      <c r="L1110">
        <v>124</v>
      </c>
      <c r="M1110">
        <v>660.21</v>
      </c>
      <c r="N1110">
        <v>627.19950000000006</v>
      </c>
      <c r="O1110">
        <v>372</v>
      </c>
      <c r="P1110">
        <v>255.19950000000006</v>
      </c>
    </row>
    <row r="1111" spans="1:16" x14ac:dyDescent="0.3">
      <c r="A1111" s="1">
        <v>45870</v>
      </c>
      <c r="B1111" s="2" t="s">
        <v>39</v>
      </c>
      <c r="C1111" s="2" t="s">
        <v>40</v>
      </c>
      <c r="D1111" s="2" t="s">
        <v>46</v>
      </c>
      <c r="E1111" s="2" t="s">
        <v>47</v>
      </c>
      <c r="F1111" s="2" t="s">
        <v>43</v>
      </c>
      <c r="G1111" s="2" t="s">
        <v>99</v>
      </c>
      <c r="H1111">
        <v>2</v>
      </c>
      <c r="I1111">
        <v>8</v>
      </c>
      <c r="J1111">
        <v>471.82000000000005</v>
      </c>
      <c r="K1111">
        <v>0.09</v>
      </c>
      <c r="L1111">
        <v>288.5</v>
      </c>
      <c r="M1111">
        <v>3774.5600000000004</v>
      </c>
      <c r="N1111">
        <v>3421.6880000000001</v>
      </c>
      <c r="O1111">
        <v>2308</v>
      </c>
      <c r="P1111">
        <v>1113.6880000000001</v>
      </c>
    </row>
    <row r="1112" spans="1:16" x14ac:dyDescent="0.3">
      <c r="A1112" s="1">
        <v>45992</v>
      </c>
      <c r="B1112" s="2" t="s">
        <v>39</v>
      </c>
      <c r="C1112" s="2" t="s">
        <v>40</v>
      </c>
      <c r="D1112" s="2" t="s">
        <v>41</v>
      </c>
      <c r="E1112" s="2" t="s">
        <v>47</v>
      </c>
      <c r="F1112" s="2" t="s">
        <v>52</v>
      </c>
      <c r="G1112" s="2" t="s">
        <v>44</v>
      </c>
      <c r="H1112">
        <v>3</v>
      </c>
      <c r="I1112">
        <v>7</v>
      </c>
      <c r="J1112">
        <v>102.87</v>
      </c>
      <c r="K1112">
        <v>3.333333333333334E-2</v>
      </c>
      <c r="L1112">
        <v>53.333333333333336</v>
      </c>
      <c r="M1112">
        <v>663.44</v>
      </c>
      <c r="N1112">
        <v>659.11400000000003</v>
      </c>
      <c r="O1112">
        <v>338</v>
      </c>
      <c r="P1112">
        <v>321.11400000000003</v>
      </c>
    </row>
    <row r="1113" spans="1:16" x14ac:dyDescent="0.3">
      <c r="A1113" s="1">
        <v>45870</v>
      </c>
      <c r="B1113" s="2" t="s">
        <v>56</v>
      </c>
      <c r="C1113" s="2" t="s">
        <v>72</v>
      </c>
      <c r="D1113" s="2" t="s">
        <v>46</v>
      </c>
      <c r="E1113" s="2" t="s">
        <v>42</v>
      </c>
      <c r="F1113" s="2" t="s">
        <v>43</v>
      </c>
      <c r="G1113" s="2" t="s">
        <v>172</v>
      </c>
      <c r="H1113">
        <v>1</v>
      </c>
      <c r="I1113">
        <v>1</v>
      </c>
      <c r="J1113">
        <v>1132.07</v>
      </c>
      <c r="K1113">
        <v>0.15</v>
      </c>
      <c r="L1113">
        <v>760</v>
      </c>
      <c r="M1113">
        <v>1132.07</v>
      </c>
      <c r="N1113">
        <v>962.25949999999989</v>
      </c>
      <c r="O1113">
        <v>760</v>
      </c>
      <c r="P1113">
        <v>202.25949999999989</v>
      </c>
    </row>
    <row r="1114" spans="1:16" x14ac:dyDescent="0.3">
      <c r="A1114" s="1">
        <v>45870</v>
      </c>
      <c r="B1114" s="2" t="s">
        <v>56</v>
      </c>
      <c r="C1114" s="2" t="s">
        <v>72</v>
      </c>
      <c r="D1114" s="2" t="s">
        <v>46</v>
      </c>
      <c r="E1114" s="2" t="s">
        <v>42</v>
      </c>
      <c r="F1114" s="2" t="s">
        <v>52</v>
      </c>
      <c r="G1114" s="2" t="s">
        <v>172</v>
      </c>
      <c r="H1114">
        <v>1</v>
      </c>
      <c r="I1114">
        <v>3</v>
      </c>
      <c r="J1114">
        <v>41.81</v>
      </c>
      <c r="K1114">
        <v>0.1</v>
      </c>
      <c r="L1114">
        <v>18</v>
      </c>
      <c r="M1114">
        <v>125.43</v>
      </c>
      <c r="N1114">
        <v>112.88700000000001</v>
      </c>
      <c r="O1114">
        <v>54</v>
      </c>
      <c r="P1114">
        <v>58.887000000000015</v>
      </c>
    </row>
    <row r="1115" spans="1:16" x14ac:dyDescent="0.3">
      <c r="A1115" s="1">
        <v>45870</v>
      </c>
      <c r="B1115" s="2" t="s">
        <v>39</v>
      </c>
      <c r="C1115" s="2" t="s">
        <v>54</v>
      </c>
      <c r="D1115" s="2" t="s">
        <v>41</v>
      </c>
      <c r="E1115" s="2" t="s">
        <v>51</v>
      </c>
      <c r="F1115" s="2" t="s">
        <v>43</v>
      </c>
      <c r="G1115" s="2" t="s">
        <v>69</v>
      </c>
      <c r="H1115">
        <v>1</v>
      </c>
      <c r="I1115">
        <v>3</v>
      </c>
      <c r="J1115">
        <v>1031.73</v>
      </c>
      <c r="K1115">
        <v>0</v>
      </c>
      <c r="L1115">
        <v>760</v>
      </c>
      <c r="M1115">
        <v>3095.19</v>
      </c>
      <c r="N1115">
        <v>3095.19</v>
      </c>
      <c r="O1115">
        <v>2280</v>
      </c>
      <c r="P1115">
        <v>815.19</v>
      </c>
    </row>
    <row r="1116" spans="1:16" x14ac:dyDescent="0.3">
      <c r="A1116" s="1">
        <v>45870</v>
      </c>
      <c r="B1116" s="2" t="s">
        <v>39</v>
      </c>
      <c r="C1116" s="2" t="s">
        <v>40</v>
      </c>
      <c r="D1116" s="2" t="s">
        <v>41</v>
      </c>
      <c r="E1116" s="2" t="s">
        <v>47</v>
      </c>
      <c r="F1116" s="2" t="s">
        <v>43</v>
      </c>
      <c r="G1116" s="2" t="s">
        <v>144</v>
      </c>
      <c r="H1116">
        <v>2</v>
      </c>
      <c r="I1116">
        <v>33</v>
      </c>
      <c r="J1116">
        <v>564.92499999999995</v>
      </c>
      <c r="K1116">
        <v>0</v>
      </c>
      <c r="L1116">
        <v>351</v>
      </c>
      <c r="M1116">
        <v>11304.329999999998</v>
      </c>
      <c r="N1116">
        <v>11304.329999999998</v>
      </c>
      <c r="O1116">
        <v>7020</v>
      </c>
      <c r="P1116">
        <v>4284.329999999999</v>
      </c>
    </row>
    <row r="1117" spans="1:16" x14ac:dyDescent="0.3">
      <c r="A1117" s="1">
        <v>45870</v>
      </c>
      <c r="B1117" s="2" t="s">
        <v>65</v>
      </c>
      <c r="C1117" s="2" t="s">
        <v>66</v>
      </c>
      <c r="D1117" s="2" t="s">
        <v>50</v>
      </c>
      <c r="E1117" s="2" t="s">
        <v>42</v>
      </c>
      <c r="F1117" s="2" t="s">
        <v>43</v>
      </c>
      <c r="G1117" s="2" t="s">
        <v>174</v>
      </c>
      <c r="H1117">
        <v>1</v>
      </c>
      <c r="I1117">
        <v>1</v>
      </c>
      <c r="J1117">
        <v>598.54</v>
      </c>
      <c r="K1117">
        <v>0.1</v>
      </c>
      <c r="L1117">
        <v>395</v>
      </c>
      <c r="M1117">
        <v>598.54</v>
      </c>
      <c r="N1117">
        <v>538.68600000000004</v>
      </c>
      <c r="O1117">
        <v>395</v>
      </c>
      <c r="P1117">
        <v>143.68600000000004</v>
      </c>
    </row>
    <row r="1118" spans="1:16" x14ac:dyDescent="0.3">
      <c r="A1118" s="1">
        <v>45870</v>
      </c>
      <c r="B1118" s="2" t="s">
        <v>39</v>
      </c>
      <c r="C1118" s="2" t="s">
        <v>78</v>
      </c>
      <c r="D1118" s="2" t="s">
        <v>41</v>
      </c>
      <c r="E1118" s="2" t="s">
        <v>47</v>
      </c>
      <c r="F1118" s="2" t="s">
        <v>52</v>
      </c>
      <c r="G1118" s="2" t="s">
        <v>167</v>
      </c>
      <c r="H1118">
        <v>1</v>
      </c>
      <c r="I1118">
        <v>3</v>
      </c>
      <c r="J1118">
        <v>212.99</v>
      </c>
      <c r="K1118">
        <v>0</v>
      </c>
      <c r="L1118">
        <v>124</v>
      </c>
      <c r="M1118">
        <v>638.97</v>
      </c>
      <c r="N1118">
        <v>638.97</v>
      </c>
      <c r="O1118">
        <v>372</v>
      </c>
      <c r="P1118">
        <v>266.97000000000003</v>
      </c>
    </row>
    <row r="1119" spans="1:16" x14ac:dyDescent="0.3">
      <c r="A1119" s="1">
        <v>45870</v>
      </c>
      <c r="B1119" s="2" t="s">
        <v>56</v>
      </c>
      <c r="C1119" s="2" t="s">
        <v>62</v>
      </c>
      <c r="D1119" s="2" t="s">
        <v>50</v>
      </c>
      <c r="E1119" s="2" t="s">
        <v>51</v>
      </c>
      <c r="F1119" s="2" t="s">
        <v>43</v>
      </c>
      <c r="G1119" s="2" t="s">
        <v>139</v>
      </c>
      <c r="H1119">
        <v>1</v>
      </c>
      <c r="I1119">
        <v>13</v>
      </c>
      <c r="J1119">
        <v>572.09</v>
      </c>
      <c r="K1119">
        <v>0.08</v>
      </c>
      <c r="L1119">
        <v>395</v>
      </c>
      <c r="M1119">
        <v>7437.17</v>
      </c>
      <c r="N1119">
        <v>6842.1964000000007</v>
      </c>
      <c r="O1119">
        <v>5135</v>
      </c>
      <c r="P1119">
        <v>1707.1964000000007</v>
      </c>
    </row>
    <row r="1120" spans="1:16" x14ac:dyDescent="0.3">
      <c r="A1120" s="1">
        <v>45870</v>
      </c>
      <c r="B1120" s="2" t="s">
        <v>56</v>
      </c>
      <c r="C1120" s="2" t="s">
        <v>72</v>
      </c>
      <c r="D1120" s="2" t="s">
        <v>46</v>
      </c>
      <c r="E1120" s="2" t="s">
        <v>42</v>
      </c>
      <c r="F1120" s="2" t="s">
        <v>43</v>
      </c>
      <c r="G1120" s="2" t="s">
        <v>199</v>
      </c>
      <c r="H1120">
        <v>2</v>
      </c>
      <c r="I1120">
        <v>4</v>
      </c>
      <c r="J1120">
        <v>462.57</v>
      </c>
      <c r="K1120">
        <v>0.13500000000000001</v>
      </c>
      <c r="L1120">
        <v>287</v>
      </c>
      <c r="M1120">
        <v>1850.28</v>
      </c>
      <c r="N1120">
        <v>1578.9708000000001</v>
      </c>
      <c r="O1120">
        <v>1148</v>
      </c>
      <c r="P1120">
        <v>430.97080000000005</v>
      </c>
    </row>
    <row r="1121" spans="1:16" x14ac:dyDescent="0.3">
      <c r="A1121" s="1">
        <v>45870</v>
      </c>
      <c r="B1121" s="2" t="s">
        <v>56</v>
      </c>
      <c r="C1121" s="2" t="s">
        <v>72</v>
      </c>
      <c r="D1121" s="2" t="s">
        <v>46</v>
      </c>
      <c r="E1121" s="2" t="s">
        <v>42</v>
      </c>
      <c r="F1121" s="2" t="s">
        <v>48</v>
      </c>
      <c r="G1121" s="2" t="s">
        <v>199</v>
      </c>
      <c r="H1121">
        <v>1</v>
      </c>
      <c r="I1121">
        <v>1</v>
      </c>
      <c r="J1121">
        <v>72.62</v>
      </c>
      <c r="K1121">
        <v>0.12</v>
      </c>
      <c r="L1121">
        <v>31</v>
      </c>
      <c r="M1121">
        <v>72.62</v>
      </c>
      <c r="N1121">
        <v>63.905600000000007</v>
      </c>
      <c r="O1121">
        <v>31</v>
      </c>
      <c r="P1121">
        <v>32.905600000000007</v>
      </c>
    </row>
    <row r="1122" spans="1:16" x14ac:dyDescent="0.3">
      <c r="A1122" s="1">
        <v>45870</v>
      </c>
      <c r="B1122" s="2" t="s">
        <v>39</v>
      </c>
      <c r="C1122" s="2" t="s">
        <v>92</v>
      </c>
      <c r="D1122" s="2" t="s">
        <v>50</v>
      </c>
      <c r="E1122" s="2" t="s">
        <v>51</v>
      </c>
      <c r="F1122" s="2" t="s">
        <v>43</v>
      </c>
      <c r="G1122" s="2" t="s">
        <v>110</v>
      </c>
      <c r="H1122">
        <v>2</v>
      </c>
      <c r="I1122">
        <v>15</v>
      </c>
      <c r="J1122">
        <v>830.33500000000004</v>
      </c>
      <c r="K1122">
        <v>0.25</v>
      </c>
      <c r="L1122">
        <v>577.5</v>
      </c>
      <c r="M1122">
        <v>10566.32</v>
      </c>
      <c r="N1122">
        <v>8366.02</v>
      </c>
      <c r="O1122">
        <v>7385</v>
      </c>
      <c r="P1122">
        <v>981.01999999999953</v>
      </c>
    </row>
    <row r="1123" spans="1:16" x14ac:dyDescent="0.3">
      <c r="A1123" s="1">
        <v>45870</v>
      </c>
      <c r="B1123" s="2" t="s">
        <v>39</v>
      </c>
      <c r="C1123" s="2" t="s">
        <v>92</v>
      </c>
      <c r="D1123" s="2" t="s">
        <v>50</v>
      </c>
      <c r="E1123" s="2" t="s">
        <v>51</v>
      </c>
      <c r="F1123" s="2" t="s">
        <v>52</v>
      </c>
      <c r="G1123" s="2" t="s">
        <v>110</v>
      </c>
      <c r="H1123">
        <v>1</v>
      </c>
      <c r="I1123">
        <v>11</v>
      </c>
      <c r="J1123">
        <v>197.17</v>
      </c>
      <c r="K1123">
        <v>0.12</v>
      </c>
      <c r="L1123">
        <v>124</v>
      </c>
      <c r="M1123">
        <v>2168.87</v>
      </c>
      <c r="N1123">
        <v>1908.6055999999999</v>
      </c>
      <c r="O1123">
        <v>1364</v>
      </c>
      <c r="P1123">
        <v>544.60559999999987</v>
      </c>
    </row>
    <row r="1124" spans="1:16" x14ac:dyDescent="0.3">
      <c r="A1124" s="1">
        <v>45870</v>
      </c>
      <c r="B1124" s="2" t="s">
        <v>39</v>
      </c>
      <c r="C1124" s="2" t="s">
        <v>40</v>
      </c>
      <c r="D1124" s="2" t="s">
        <v>41</v>
      </c>
      <c r="E1124" s="2" t="s">
        <v>47</v>
      </c>
      <c r="F1124" s="2" t="s">
        <v>43</v>
      </c>
      <c r="G1124" s="2" t="s">
        <v>200</v>
      </c>
      <c r="H1124">
        <v>1</v>
      </c>
      <c r="I1124">
        <v>1</v>
      </c>
      <c r="J1124">
        <v>303.83</v>
      </c>
      <c r="K1124">
        <v>0</v>
      </c>
      <c r="L1124">
        <v>182</v>
      </c>
      <c r="M1124">
        <v>303.83</v>
      </c>
      <c r="N1124">
        <v>303.83</v>
      </c>
      <c r="O1124">
        <v>182</v>
      </c>
      <c r="P1124">
        <v>121.82999999999998</v>
      </c>
    </row>
    <row r="1125" spans="1:16" x14ac:dyDescent="0.3">
      <c r="A1125" s="1">
        <v>45870</v>
      </c>
      <c r="B1125" s="2" t="s">
        <v>56</v>
      </c>
      <c r="C1125" s="2" t="s">
        <v>57</v>
      </c>
      <c r="D1125" s="2" t="s">
        <v>50</v>
      </c>
      <c r="E1125" s="2" t="s">
        <v>42</v>
      </c>
      <c r="F1125" s="2" t="s">
        <v>48</v>
      </c>
      <c r="G1125" s="2" t="s">
        <v>121</v>
      </c>
      <c r="H1125">
        <v>1</v>
      </c>
      <c r="I1125">
        <v>4</v>
      </c>
      <c r="J1125">
        <v>74.69</v>
      </c>
      <c r="K1125">
        <v>0.12</v>
      </c>
      <c r="L1125">
        <v>31</v>
      </c>
      <c r="M1125">
        <v>298.76</v>
      </c>
      <c r="N1125">
        <v>262.90879999999999</v>
      </c>
      <c r="O1125">
        <v>124</v>
      </c>
      <c r="P1125">
        <v>138.90879999999999</v>
      </c>
    </row>
    <row r="1126" spans="1:16" x14ac:dyDescent="0.3">
      <c r="A1126" s="1">
        <v>45870</v>
      </c>
      <c r="B1126" s="2" t="s">
        <v>39</v>
      </c>
      <c r="C1126" s="2" t="s">
        <v>78</v>
      </c>
      <c r="D1126" s="2" t="s">
        <v>46</v>
      </c>
      <c r="E1126" s="2" t="s">
        <v>51</v>
      </c>
      <c r="F1126" s="2" t="s">
        <v>48</v>
      </c>
      <c r="G1126" s="2" t="s">
        <v>79</v>
      </c>
      <c r="H1126">
        <v>2</v>
      </c>
      <c r="I1126">
        <v>26</v>
      </c>
      <c r="J1126">
        <v>93.914999999999992</v>
      </c>
      <c r="K1126">
        <v>0.125</v>
      </c>
      <c r="L1126">
        <v>47</v>
      </c>
      <c r="M1126">
        <v>2042.44</v>
      </c>
      <c r="N1126">
        <v>1801.4639999999999</v>
      </c>
      <c r="O1126">
        <v>998</v>
      </c>
      <c r="P1126">
        <v>803.46399999999994</v>
      </c>
    </row>
    <row r="1127" spans="1:16" x14ac:dyDescent="0.3">
      <c r="A1127" s="1">
        <v>45870</v>
      </c>
      <c r="B1127" s="2" t="s">
        <v>39</v>
      </c>
      <c r="C1127" s="2" t="s">
        <v>45</v>
      </c>
      <c r="D1127" s="2" t="s">
        <v>46</v>
      </c>
      <c r="E1127" s="2" t="s">
        <v>47</v>
      </c>
      <c r="F1127" s="2" t="s">
        <v>43</v>
      </c>
      <c r="G1127" s="2" t="s">
        <v>188</v>
      </c>
      <c r="H1127">
        <v>1</v>
      </c>
      <c r="I1127">
        <v>3</v>
      </c>
      <c r="J1127">
        <v>109.68</v>
      </c>
      <c r="K1127">
        <v>0.15</v>
      </c>
      <c r="L1127">
        <v>54</v>
      </c>
      <c r="M1127">
        <v>329.04</v>
      </c>
      <c r="N1127">
        <v>279.68400000000003</v>
      </c>
      <c r="O1127">
        <v>162</v>
      </c>
      <c r="P1127">
        <v>117.68400000000003</v>
      </c>
    </row>
    <row r="1128" spans="1:16" x14ac:dyDescent="0.3">
      <c r="A1128" s="1">
        <v>45870</v>
      </c>
      <c r="B1128" s="2" t="s">
        <v>39</v>
      </c>
      <c r="C1128" s="2" t="s">
        <v>88</v>
      </c>
      <c r="D1128" s="2" t="s">
        <v>50</v>
      </c>
      <c r="E1128" s="2" t="s">
        <v>42</v>
      </c>
      <c r="F1128" s="2" t="s">
        <v>48</v>
      </c>
      <c r="G1128" s="2" t="s">
        <v>89</v>
      </c>
      <c r="H1128">
        <v>1</v>
      </c>
      <c r="I1128">
        <v>4</v>
      </c>
      <c r="J1128">
        <v>71.3</v>
      </c>
      <c r="K1128">
        <v>0.08</v>
      </c>
      <c r="L1128">
        <v>31</v>
      </c>
      <c r="M1128">
        <v>285.2</v>
      </c>
      <c r="N1128">
        <v>262.38400000000001</v>
      </c>
      <c r="O1128">
        <v>124</v>
      </c>
      <c r="P1128">
        <v>138.38400000000001</v>
      </c>
    </row>
    <row r="1129" spans="1:16" x14ac:dyDescent="0.3">
      <c r="A1129" s="1">
        <v>45870</v>
      </c>
      <c r="B1129" s="2" t="s">
        <v>75</v>
      </c>
      <c r="C1129" s="2" t="s">
        <v>101</v>
      </c>
      <c r="D1129" s="2" t="s">
        <v>50</v>
      </c>
      <c r="E1129" s="2" t="s">
        <v>47</v>
      </c>
      <c r="F1129" s="2" t="s">
        <v>43</v>
      </c>
      <c r="G1129" s="2" t="s">
        <v>149</v>
      </c>
      <c r="H1129">
        <v>1</v>
      </c>
      <c r="I1129">
        <v>3</v>
      </c>
      <c r="J1129">
        <v>108.54</v>
      </c>
      <c r="K1129">
        <v>0.12</v>
      </c>
      <c r="L1129">
        <v>54</v>
      </c>
      <c r="M1129">
        <v>325.62</v>
      </c>
      <c r="N1129">
        <v>286.54559999999998</v>
      </c>
      <c r="O1129">
        <v>162</v>
      </c>
      <c r="P1129">
        <v>124.54559999999998</v>
      </c>
    </row>
    <row r="1130" spans="1:16" x14ac:dyDescent="0.3">
      <c r="A1130" s="1">
        <v>45870</v>
      </c>
      <c r="B1130" s="2" t="s">
        <v>39</v>
      </c>
      <c r="C1130" s="2" t="s">
        <v>54</v>
      </c>
      <c r="D1130" s="2" t="s">
        <v>41</v>
      </c>
      <c r="E1130" s="2" t="s">
        <v>51</v>
      </c>
      <c r="F1130" s="2" t="s">
        <v>52</v>
      </c>
      <c r="G1130" s="2" t="s">
        <v>131</v>
      </c>
      <c r="H1130">
        <v>1</v>
      </c>
      <c r="I1130">
        <v>8</v>
      </c>
      <c r="J1130">
        <v>40.479999999999997</v>
      </c>
      <c r="K1130">
        <v>0</v>
      </c>
      <c r="L1130">
        <v>18</v>
      </c>
      <c r="M1130">
        <v>323.83999999999997</v>
      </c>
      <c r="N1130">
        <v>323.83999999999997</v>
      </c>
      <c r="O1130">
        <v>144</v>
      </c>
      <c r="P1130">
        <v>179.83999999999997</v>
      </c>
    </row>
    <row r="1131" spans="1:16" x14ac:dyDescent="0.3">
      <c r="A1131" s="1">
        <v>45870</v>
      </c>
      <c r="B1131" s="2" t="s">
        <v>56</v>
      </c>
      <c r="C1131" s="2" t="s">
        <v>57</v>
      </c>
      <c r="D1131" s="2" t="s">
        <v>50</v>
      </c>
      <c r="E1131" s="2" t="s">
        <v>42</v>
      </c>
      <c r="F1131" s="2" t="s">
        <v>43</v>
      </c>
      <c r="G1131" s="2" t="s">
        <v>100</v>
      </c>
      <c r="H1131">
        <v>2</v>
      </c>
      <c r="I1131">
        <v>2</v>
      </c>
      <c r="J1131">
        <v>574.18000000000006</v>
      </c>
      <c r="K1131">
        <v>0.05</v>
      </c>
      <c r="L1131">
        <v>351</v>
      </c>
      <c r="M1131">
        <v>1148.3600000000001</v>
      </c>
      <c r="N1131">
        <v>1090.942</v>
      </c>
      <c r="O1131">
        <v>702</v>
      </c>
      <c r="P1131">
        <v>388.94199999999995</v>
      </c>
    </row>
    <row r="1132" spans="1:16" x14ac:dyDescent="0.3">
      <c r="A1132" s="1">
        <v>45870</v>
      </c>
      <c r="B1132" s="2" t="s">
        <v>56</v>
      </c>
      <c r="C1132" s="2" t="s">
        <v>57</v>
      </c>
      <c r="D1132" s="2" t="s">
        <v>50</v>
      </c>
      <c r="E1132" s="2" t="s">
        <v>51</v>
      </c>
      <c r="F1132" s="2" t="s">
        <v>48</v>
      </c>
      <c r="G1132" s="2" t="s">
        <v>150</v>
      </c>
      <c r="H1132">
        <v>1</v>
      </c>
      <c r="I1132">
        <v>22</v>
      </c>
      <c r="J1132">
        <v>125.52</v>
      </c>
      <c r="K1132">
        <v>0.08</v>
      </c>
      <c r="L1132">
        <v>63</v>
      </c>
      <c r="M1132">
        <v>2761.44</v>
      </c>
      <c r="N1132">
        <v>2540.5248000000001</v>
      </c>
      <c r="O1132">
        <v>1386</v>
      </c>
      <c r="P1132">
        <v>1154.5248000000001</v>
      </c>
    </row>
    <row r="1133" spans="1:16" x14ac:dyDescent="0.3">
      <c r="A1133" s="1">
        <v>45870</v>
      </c>
      <c r="B1133" s="2" t="s">
        <v>65</v>
      </c>
      <c r="C1133" s="2" t="s">
        <v>134</v>
      </c>
      <c r="D1133" s="2" t="s">
        <v>41</v>
      </c>
      <c r="E1133" s="2" t="s">
        <v>42</v>
      </c>
      <c r="F1133" s="2" t="s">
        <v>48</v>
      </c>
      <c r="G1133" s="2" t="s">
        <v>208</v>
      </c>
      <c r="H1133">
        <v>1</v>
      </c>
      <c r="I1133">
        <v>1</v>
      </c>
      <c r="J1133">
        <v>94.27</v>
      </c>
      <c r="K1133">
        <v>0</v>
      </c>
      <c r="L1133">
        <v>39</v>
      </c>
      <c r="M1133">
        <v>94.27</v>
      </c>
      <c r="N1133">
        <v>94.27</v>
      </c>
      <c r="O1133">
        <v>39</v>
      </c>
      <c r="P1133">
        <v>55.269999999999996</v>
      </c>
    </row>
    <row r="1134" spans="1:16" x14ac:dyDescent="0.3">
      <c r="A1134" s="1">
        <v>45870</v>
      </c>
      <c r="B1134" s="2" t="s">
        <v>39</v>
      </c>
      <c r="C1134" s="2" t="s">
        <v>78</v>
      </c>
      <c r="D1134" s="2" t="s">
        <v>41</v>
      </c>
      <c r="E1134" s="2" t="s">
        <v>51</v>
      </c>
      <c r="F1134" s="2" t="s">
        <v>48</v>
      </c>
      <c r="G1134" s="2" t="s">
        <v>123</v>
      </c>
      <c r="H1134">
        <v>1</v>
      </c>
      <c r="I1134">
        <v>15</v>
      </c>
      <c r="J1134">
        <v>66.52</v>
      </c>
      <c r="K1134">
        <v>0.05</v>
      </c>
      <c r="L1134">
        <v>31</v>
      </c>
      <c r="M1134">
        <v>997.8</v>
      </c>
      <c r="N1134">
        <v>947.91</v>
      </c>
      <c r="O1134">
        <v>465</v>
      </c>
      <c r="P1134">
        <v>482.90999999999997</v>
      </c>
    </row>
    <row r="1135" spans="1:16" x14ac:dyDescent="0.3">
      <c r="A1135" s="1">
        <v>45870</v>
      </c>
      <c r="B1135" s="2" t="s">
        <v>56</v>
      </c>
      <c r="C1135" s="2" t="s">
        <v>62</v>
      </c>
      <c r="D1135" s="2" t="s">
        <v>41</v>
      </c>
      <c r="E1135" s="2" t="s">
        <v>42</v>
      </c>
      <c r="F1135" s="2" t="s">
        <v>52</v>
      </c>
      <c r="G1135" s="2" t="s">
        <v>193</v>
      </c>
      <c r="H1135">
        <v>1</v>
      </c>
      <c r="I1135">
        <v>1</v>
      </c>
      <c r="J1135">
        <v>209.07</v>
      </c>
      <c r="K1135">
        <v>0</v>
      </c>
      <c r="L1135">
        <v>124</v>
      </c>
      <c r="M1135">
        <v>209.07</v>
      </c>
      <c r="N1135">
        <v>209.07</v>
      </c>
      <c r="O1135">
        <v>124</v>
      </c>
      <c r="P1135">
        <v>85.07</v>
      </c>
    </row>
    <row r="1136" spans="1:16" x14ac:dyDescent="0.3">
      <c r="A1136" s="1">
        <v>45870</v>
      </c>
      <c r="B1136" s="2" t="s">
        <v>83</v>
      </c>
      <c r="C1136" s="2" t="s">
        <v>84</v>
      </c>
      <c r="D1136" s="2" t="s">
        <v>41</v>
      </c>
      <c r="E1136" s="2" t="s">
        <v>42</v>
      </c>
      <c r="F1136" s="2" t="s">
        <v>43</v>
      </c>
      <c r="G1136" s="2" t="s">
        <v>222</v>
      </c>
      <c r="H1136">
        <v>1</v>
      </c>
      <c r="I1136">
        <v>1</v>
      </c>
      <c r="J1136">
        <v>601.70000000000005</v>
      </c>
      <c r="K1136">
        <v>0.1</v>
      </c>
      <c r="L1136">
        <v>395</v>
      </c>
      <c r="M1136">
        <v>601.70000000000005</v>
      </c>
      <c r="N1136">
        <v>541.53000000000009</v>
      </c>
      <c r="O1136">
        <v>395</v>
      </c>
      <c r="P1136">
        <v>146.53000000000009</v>
      </c>
    </row>
    <row r="1137" spans="1:16" x14ac:dyDescent="0.3">
      <c r="A1137" s="1">
        <v>45870</v>
      </c>
      <c r="B1137" s="2" t="s">
        <v>39</v>
      </c>
      <c r="C1137" s="2" t="s">
        <v>40</v>
      </c>
      <c r="D1137" s="2" t="s">
        <v>46</v>
      </c>
      <c r="E1137" s="2" t="s">
        <v>51</v>
      </c>
      <c r="F1137" s="2" t="s">
        <v>48</v>
      </c>
      <c r="G1137" s="2" t="s">
        <v>228</v>
      </c>
      <c r="H1137">
        <v>1</v>
      </c>
      <c r="I1137">
        <v>18</v>
      </c>
      <c r="J1137">
        <v>63.99</v>
      </c>
      <c r="K1137">
        <v>0.1</v>
      </c>
      <c r="L1137">
        <v>31</v>
      </c>
      <c r="M1137">
        <v>1151.82</v>
      </c>
      <c r="N1137">
        <v>1036.6379999999999</v>
      </c>
      <c r="O1137">
        <v>558</v>
      </c>
      <c r="P1137">
        <v>478.63799999999992</v>
      </c>
    </row>
    <row r="1138" spans="1:16" x14ac:dyDescent="0.3">
      <c r="A1138" s="1">
        <v>45870</v>
      </c>
      <c r="B1138" s="2" t="s">
        <v>83</v>
      </c>
      <c r="C1138" s="2" t="s">
        <v>84</v>
      </c>
      <c r="D1138" s="2" t="s">
        <v>46</v>
      </c>
      <c r="E1138" s="2" t="s">
        <v>47</v>
      </c>
      <c r="F1138" s="2" t="s">
        <v>43</v>
      </c>
      <c r="G1138" s="2" t="s">
        <v>128</v>
      </c>
      <c r="H1138">
        <v>2</v>
      </c>
      <c r="I1138">
        <v>3</v>
      </c>
      <c r="J1138">
        <v>510.72499999999997</v>
      </c>
      <c r="K1138">
        <v>8.4999999999999992E-2</v>
      </c>
      <c r="L1138">
        <v>303</v>
      </c>
      <c r="M1138">
        <v>1198.1399999999999</v>
      </c>
      <c r="N1138">
        <v>1079.0998</v>
      </c>
      <c r="O1138">
        <v>692</v>
      </c>
      <c r="P1138">
        <v>387.0997999999999</v>
      </c>
    </row>
    <row r="1139" spans="1:16" x14ac:dyDescent="0.3">
      <c r="A1139" s="1">
        <v>45870</v>
      </c>
      <c r="B1139" s="2" t="s">
        <v>39</v>
      </c>
      <c r="C1139" s="2" t="s">
        <v>92</v>
      </c>
      <c r="D1139" s="2" t="s">
        <v>50</v>
      </c>
      <c r="E1139" s="2" t="s">
        <v>42</v>
      </c>
      <c r="F1139" s="2" t="s">
        <v>48</v>
      </c>
      <c r="G1139" s="2" t="s">
        <v>130</v>
      </c>
      <c r="H1139">
        <v>1</v>
      </c>
      <c r="I1139">
        <v>1</v>
      </c>
      <c r="J1139">
        <v>94.33</v>
      </c>
      <c r="K1139">
        <v>0.12</v>
      </c>
      <c r="L1139">
        <v>39</v>
      </c>
      <c r="M1139">
        <v>94.33</v>
      </c>
      <c r="N1139">
        <v>83.010400000000004</v>
      </c>
      <c r="O1139">
        <v>39</v>
      </c>
      <c r="P1139">
        <v>44.010400000000004</v>
      </c>
    </row>
    <row r="1140" spans="1:16" x14ac:dyDescent="0.3">
      <c r="A1140" s="1">
        <v>45870</v>
      </c>
      <c r="B1140" s="2" t="s">
        <v>39</v>
      </c>
      <c r="C1140" s="2" t="s">
        <v>78</v>
      </c>
      <c r="D1140" s="2" t="s">
        <v>41</v>
      </c>
      <c r="E1140" s="2" t="s">
        <v>42</v>
      </c>
      <c r="F1140" s="2" t="s">
        <v>43</v>
      </c>
      <c r="G1140" s="2" t="s">
        <v>167</v>
      </c>
      <c r="H1140">
        <v>1</v>
      </c>
      <c r="I1140">
        <v>1</v>
      </c>
      <c r="J1140">
        <v>607.17999999999995</v>
      </c>
      <c r="K1140">
        <v>0.1</v>
      </c>
      <c r="L1140">
        <v>395</v>
      </c>
      <c r="M1140">
        <v>607.17999999999995</v>
      </c>
      <c r="N1140">
        <v>546.46199999999999</v>
      </c>
      <c r="O1140">
        <v>395</v>
      </c>
      <c r="P1140">
        <v>151.46199999999999</v>
      </c>
    </row>
    <row r="1141" spans="1:16" x14ac:dyDescent="0.3">
      <c r="A1141" s="1">
        <v>45870</v>
      </c>
      <c r="B1141" s="2" t="s">
        <v>65</v>
      </c>
      <c r="C1141" s="2" t="s">
        <v>134</v>
      </c>
      <c r="D1141" s="2" t="s">
        <v>41</v>
      </c>
      <c r="E1141" s="2" t="s">
        <v>42</v>
      </c>
      <c r="F1141" s="2" t="s">
        <v>43</v>
      </c>
      <c r="G1141" s="2" t="s">
        <v>227</v>
      </c>
      <c r="H1141">
        <v>1</v>
      </c>
      <c r="I1141">
        <v>2</v>
      </c>
      <c r="J1141">
        <v>633.49</v>
      </c>
      <c r="K1141">
        <v>0</v>
      </c>
      <c r="L1141">
        <v>395</v>
      </c>
      <c r="M1141">
        <v>1266.98</v>
      </c>
      <c r="N1141">
        <v>1266.98</v>
      </c>
      <c r="O1141">
        <v>790</v>
      </c>
      <c r="P1141">
        <v>476.98</v>
      </c>
    </row>
    <row r="1142" spans="1:16" x14ac:dyDescent="0.3">
      <c r="A1142" s="1">
        <v>45870</v>
      </c>
      <c r="B1142" s="2" t="s">
        <v>39</v>
      </c>
      <c r="C1142" s="2" t="s">
        <v>92</v>
      </c>
      <c r="D1142" s="2" t="s">
        <v>41</v>
      </c>
      <c r="E1142" s="2" t="s">
        <v>51</v>
      </c>
      <c r="F1142" s="2" t="s">
        <v>43</v>
      </c>
      <c r="G1142" s="2" t="s">
        <v>187</v>
      </c>
      <c r="H1142">
        <v>1</v>
      </c>
      <c r="I1142">
        <v>4</v>
      </c>
      <c r="J1142">
        <v>756.04</v>
      </c>
      <c r="K1142">
        <v>0</v>
      </c>
      <c r="L1142">
        <v>520</v>
      </c>
      <c r="M1142">
        <v>3024.16</v>
      </c>
      <c r="N1142">
        <v>3024.16</v>
      </c>
      <c r="O1142">
        <v>2080</v>
      </c>
      <c r="P1142">
        <v>944.15999999999985</v>
      </c>
    </row>
    <row r="1143" spans="1:16" x14ac:dyDescent="0.3">
      <c r="A1143" s="1">
        <v>45870</v>
      </c>
      <c r="B1143" s="2" t="s">
        <v>39</v>
      </c>
      <c r="C1143" s="2" t="s">
        <v>92</v>
      </c>
      <c r="D1143" s="2" t="s">
        <v>50</v>
      </c>
      <c r="E1143" s="2" t="s">
        <v>42</v>
      </c>
      <c r="F1143" s="2" t="s">
        <v>48</v>
      </c>
      <c r="G1143" s="2" t="s">
        <v>104</v>
      </c>
      <c r="H1143">
        <v>1</v>
      </c>
      <c r="I1143">
        <v>1</v>
      </c>
      <c r="J1143">
        <v>93.2</v>
      </c>
      <c r="K1143">
        <v>0.08</v>
      </c>
      <c r="L1143">
        <v>39</v>
      </c>
      <c r="M1143">
        <v>93.2</v>
      </c>
      <c r="N1143">
        <v>85.744</v>
      </c>
      <c r="O1143">
        <v>39</v>
      </c>
      <c r="P1143">
        <v>46.744</v>
      </c>
    </row>
    <row r="1144" spans="1:16" x14ac:dyDescent="0.3">
      <c r="A1144" s="1">
        <v>45870</v>
      </c>
      <c r="B1144" s="2" t="s">
        <v>39</v>
      </c>
      <c r="C1144" s="2" t="s">
        <v>92</v>
      </c>
      <c r="D1144" s="2" t="s">
        <v>50</v>
      </c>
      <c r="E1144" s="2" t="s">
        <v>42</v>
      </c>
      <c r="F1144" s="2" t="s">
        <v>52</v>
      </c>
      <c r="G1144" s="2" t="s">
        <v>104</v>
      </c>
      <c r="H1144">
        <v>1</v>
      </c>
      <c r="I1144">
        <v>2</v>
      </c>
      <c r="J1144">
        <v>214.69</v>
      </c>
      <c r="K1144">
        <v>0.08</v>
      </c>
      <c r="L1144">
        <v>124</v>
      </c>
      <c r="M1144">
        <v>429.38</v>
      </c>
      <c r="N1144">
        <v>395.02960000000002</v>
      </c>
      <c r="O1144">
        <v>248</v>
      </c>
      <c r="P1144">
        <v>147.02960000000002</v>
      </c>
    </row>
    <row r="1145" spans="1:16" x14ac:dyDescent="0.3">
      <c r="A1145" s="1">
        <v>45870</v>
      </c>
      <c r="B1145" s="2" t="s">
        <v>56</v>
      </c>
      <c r="C1145" s="2" t="s">
        <v>62</v>
      </c>
      <c r="D1145" s="2" t="s">
        <v>41</v>
      </c>
      <c r="E1145" s="2" t="s">
        <v>47</v>
      </c>
      <c r="F1145" s="2" t="s">
        <v>48</v>
      </c>
      <c r="G1145" s="2" t="s">
        <v>142</v>
      </c>
      <c r="H1145">
        <v>1</v>
      </c>
      <c r="I1145">
        <v>1</v>
      </c>
      <c r="J1145">
        <v>138.52000000000001</v>
      </c>
      <c r="K1145">
        <v>0</v>
      </c>
      <c r="L1145">
        <v>63</v>
      </c>
      <c r="M1145">
        <v>138.52000000000001</v>
      </c>
      <c r="N1145">
        <v>138.52000000000001</v>
      </c>
      <c r="O1145">
        <v>63</v>
      </c>
      <c r="P1145">
        <v>75.52000000000001</v>
      </c>
    </row>
    <row r="1146" spans="1:16" x14ac:dyDescent="0.3">
      <c r="A1146" s="1">
        <v>45870</v>
      </c>
      <c r="B1146" s="2" t="s">
        <v>39</v>
      </c>
      <c r="C1146" s="2" t="s">
        <v>45</v>
      </c>
      <c r="D1146" s="2" t="s">
        <v>41</v>
      </c>
      <c r="E1146" s="2" t="s">
        <v>47</v>
      </c>
      <c r="F1146" s="2" t="s">
        <v>43</v>
      </c>
      <c r="G1146" s="2" t="s">
        <v>201</v>
      </c>
      <c r="H1146">
        <v>2</v>
      </c>
      <c r="I1146">
        <v>3</v>
      </c>
      <c r="J1146">
        <v>370.21000000000004</v>
      </c>
      <c r="K1146">
        <v>2.5000000000000001E-2</v>
      </c>
      <c r="L1146">
        <v>224.5</v>
      </c>
      <c r="M1146">
        <v>849.36</v>
      </c>
      <c r="N1146">
        <v>838.46600000000001</v>
      </c>
      <c r="O1146">
        <v>503</v>
      </c>
      <c r="P1146">
        <v>335.46600000000001</v>
      </c>
    </row>
    <row r="1147" spans="1:16" x14ac:dyDescent="0.3">
      <c r="A1147" s="1">
        <v>45870</v>
      </c>
      <c r="B1147" s="2" t="s">
        <v>39</v>
      </c>
      <c r="C1147" s="2" t="s">
        <v>45</v>
      </c>
      <c r="D1147" s="2" t="s">
        <v>41</v>
      </c>
      <c r="E1147" s="2" t="s">
        <v>51</v>
      </c>
      <c r="F1147" s="2" t="s">
        <v>48</v>
      </c>
      <c r="G1147" s="2" t="s">
        <v>132</v>
      </c>
      <c r="H1147">
        <v>1</v>
      </c>
      <c r="I1147">
        <v>20</v>
      </c>
      <c r="J1147">
        <v>63.9</v>
      </c>
      <c r="K1147">
        <v>0</v>
      </c>
      <c r="L1147">
        <v>310</v>
      </c>
      <c r="M1147">
        <v>1278</v>
      </c>
      <c r="N1147">
        <v>1278</v>
      </c>
      <c r="O1147">
        <v>6200</v>
      </c>
      <c r="P1147">
        <v>-4922</v>
      </c>
    </row>
    <row r="1148" spans="1:16" x14ac:dyDescent="0.3">
      <c r="A1148" s="1">
        <v>45870</v>
      </c>
      <c r="B1148" s="2" t="s">
        <v>39</v>
      </c>
      <c r="C1148" s="2" t="s">
        <v>92</v>
      </c>
      <c r="D1148" s="2" t="s">
        <v>50</v>
      </c>
      <c r="E1148" s="2" t="s">
        <v>42</v>
      </c>
      <c r="F1148" s="2" t="s">
        <v>43</v>
      </c>
      <c r="G1148" s="2" t="s">
        <v>104</v>
      </c>
      <c r="H1148">
        <v>1</v>
      </c>
      <c r="I1148">
        <v>2</v>
      </c>
      <c r="J1148">
        <v>296.56</v>
      </c>
      <c r="K1148">
        <v>0.1</v>
      </c>
      <c r="L1148">
        <v>182</v>
      </c>
      <c r="M1148">
        <v>593.12</v>
      </c>
      <c r="N1148">
        <v>533.80799999999999</v>
      </c>
      <c r="O1148">
        <v>364</v>
      </c>
      <c r="P1148">
        <v>169.80799999999999</v>
      </c>
    </row>
    <row r="1149" spans="1:16" x14ac:dyDescent="0.3">
      <c r="A1149" s="1">
        <v>45870</v>
      </c>
      <c r="B1149" s="2" t="s">
        <v>39</v>
      </c>
      <c r="C1149" s="2" t="s">
        <v>40</v>
      </c>
      <c r="D1149" s="2" t="s">
        <v>50</v>
      </c>
      <c r="E1149" s="2" t="s">
        <v>51</v>
      </c>
      <c r="F1149" s="2" t="s">
        <v>43</v>
      </c>
      <c r="G1149" s="2" t="s">
        <v>114</v>
      </c>
      <c r="H1149">
        <v>1</v>
      </c>
      <c r="I1149">
        <v>4</v>
      </c>
      <c r="J1149">
        <v>781.46</v>
      </c>
      <c r="K1149">
        <v>0.1</v>
      </c>
      <c r="L1149">
        <v>520</v>
      </c>
      <c r="M1149">
        <v>3125.84</v>
      </c>
      <c r="N1149">
        <v>2813.2560000000003</v>
      </c>
      <c r="O1149">
        <v>2080</v>
      </c>
      <c r="P1149">
        <v>733.25600000000031</v>
      </c>
    </row>
    <row r="1150" spans="1:16" x14ac:dyDescent="0.3">
      <c r="A1150" s="1">
        <v>45658</v>
      </c>
      <c r="B1150" s="2" t="s">
        <v>39</v>
      </c>
      <c r="C1150" s="2" t="s">
        <v>40</v>
      </c>
      <c r="D1150" s="2" t="s">
        <v>50</v>
      </c>
      <c r="E1150" s="2" t="s">
        <v>51</v>
      </c>
      <c r="F1150" s="2" t="s">
        <v>43</v>
      </c>
      <c r="G1150" s="2" t="s">
        <v>122</v>
      </c>
      <c r="H1150">
        <v>1</v>
      </c>
      <c r="I1150">
        <v>8</v>
      </c>
      <c r="J1150">
        <v>580.08000000000004</v>
      </c>
      <c r="K1150">
        <v>0</v>
      </c>
      <c r="L1150">
        <v>395</v>
      </c>
      <c r="M1150">
        <v>4640.6400000000003</v>
      </c>
      <c r="N1150">
        <v>4640.6400000000003</v>
      </c>
      <c r="O1150">
        <v>3160</v>
      </c>
      <c r="P1150">
        <v>1480.6400000000003</v>
      </c>
    </row>
    <row r="1151" spans="1:16" x14ac:dyDescent="0.3">
      <c r="A1151" s="1">
        <v>45901</v>
      </c>
      <c r="B1151" s="2" t="s">
        <v>39</v>
      </c>
      <c r="C1151" s="2" t="s">
        <v>88</v>
      </c>
      <c r="D1151" s="2" t="s">
        <v>50</v>
      </c>
      <c r="E1151" s="2" t="s">
        <v>47</v>
      </c>
      <c r="F1151" s="2" t="s">
        <v>43</v>
      </c>
      <c r="G1151" s="2" t="s">
        <v>185</v>
      </c>
      <c r="H1151">
        <v>1</v>
      </c>
      <c r="I1151">
        <v>1</v>
      </c>
      <c r="J1151">
        <v>309.24</v>
      </c>
      <c r="K1151">
        <v>0.12</v>
      </c>
      <c r="L1151">
        <v>182</v>
      </c>
      <c r="M1151">
        <v>309.24</v>
      </c>
      <c r="N1151">
        <v>272.13120000000004</v>
      </c>
      <c r="O1151">
        <v>182</v>
      </c>
      <c r="P1151">
        <v>90.131200000000035</v>
      </c>
    </row>
    <row r="1152" spans="1:16" x14ac:dyDescent="0.3">
      <c r="A1152" s="1">
        <v>45901</v>
      </c>
      <c r="B1152" s="2" t="s">
        <v>39</v>
      </c>
      <c r="C1152" s="2" t="s">
        <v>40</v>
      </c>
      <c r="D1152" s="2" t="s">
        <v>41</v>
      </c>
      <c r="E1152" s="2" t="s">
        <v>51</v>
      </c>
      <c r="F1152" s="2" t="s">
        <v>48</v>
      </c>
      <c r="G1152" s="2" t="s">
        <v>189</v>
      </c>
      <c r="H1152">
        <v>1</v>
      </c>
      <c r="I1152">
        <v>9</v>
      </c>
      <c r="J1152">
        <v>20.93</v>
      </c>
      <c r="K1152">
        <v>0</v>
      </c>
      <c r="L1152">
        <v>8</v>
      </c>
      <c r="M1152">
        <v>188.37</v>
      </c>
      <c r="N1152">
        <v>188.37</v>
      </c>
      <c r="O1152">
        <v>72</v>
      </c>
      <c r="P1152">
        <v>116.37</v>
      </c>
    </row>
    <row r="1153" spans="1:16" x14ac:dyDescent="0.3">
      <c r="A1153" s="1">
        <v>45901</v>
      </c>
      <c r="B1153" s="2" t="s">
        <v>65</v>
      </c>
      <c r="C1153" s="2" t="s">
        <v>66</v>
      </c>
      <c r="D1153" s="2" t="s">
        <v>50</v>
      </c>
      <c r="E1153" s="2" t="s">
        <v>51</v>
      </c>
      <c r="F1153" s="2" t="s">
        <v>48</v>
      </c>
      <c r="G1153" s="2" t="s">
        <v>174</v>
      </c>
      <c r="H1153">
        <v>1</v>
      </c>
      <c r="I1153">
        <v>7</v>
      </c>
      <c r="J1153">
        <v>22.12</v>
      </c>
      <c r="K1153">
        <v>0.12</v>
      </c>
      <c r="L1153">
        <v>8</v>
      </c>
      <c r="M1153">
        <v>154.84</v>
      </c>
      <c r="N1153">
        <v>136.25919999999999</v>
      </c>
      <c r="O1153">
        <v>56</v>
      </c>
      <c r="P1153">
        <v>80.259199999999993</v>
      </c>
    </row>
    <row r="1154" spans="1:16" x14ac:dyDescent="0.3">
      <c r="A1154" s="1">
        <v>45901</v>
      </c>
      <c r="B1154" s="2" t="s">
        <v>65</v>
      </c>
      <c r="C1154" s="2" t="s">
        <v>66</v>
      </c>
      <c r="D1154" s="2" t="s">
        <v>50</v>
      </c>
      <c r="E1154" s="2" t="s">
        <v>51</v>
      </c>
      <c r="F1154" s="2" t="s">
        <v>43</v>
      </c>
      <c r="G1154" s="2" t="s">
        <v>174</v>
      </c>
      <c r="H1154">
        <v>1</v>
      </c>
      <c r="I1154">
        <v>12</v>
      </c>
      <c r="J1154">
        <v>775.5</v>
      </c>
      <c r="K1154">
        <v>0.08</v>
      </c>
      <c r="L1154">
        <v>520</v>
      </c>
      <c r="M1154">
        <v>9306</v>
      </c>
      <c r="N1154">
        <v>8561.52</v>
      </c>
      <c r="O1154">
        <v>6240</v>
      </c>
      <c r="P1154">
        <v>2321.5200000000004</v>
      </c>
    </row>
    <row r="1155" spans="1:16" x14ac:dyDescent="0.3">
      <c r="A1155" s="1">
        <v>45901</v>
      </c>
      <c r="B1155" s="2" t="s">
        <v>39</v>
      </c>
      <c r="C1155" s="2" t="s">
        <v>88</v>
      </c>
      <c r="D1155" s="2" t="s">
        <v>41</v>
      </c>
      <c r="E1155" s="2" t="s">
        <v>51</v>
      </c>
      <c r="F1155" s="2" t="s">
        <v>48</v>
      </c>
      <c r="G1155" s="2" t="s">
        <v>224</v>
      </c>
      <c r="H1155">
        <v>2</v>
      </c>
      <c r="I1155">
        <v>20</v>
      </c>
      <c r="J1155">
        <v>677.39</v>
      </c>
      <c r="K1155">
        <v>0</v>
      </c>
      <c r="L1155">
        <v>47</v>
      </c>
      <c r="M1155">
        <v>13547.8</v>
      </c>
      <c r="N1155">
        <v>13547.8</v>
      </c>
      <c r="O1155">
        <v>940</v>
      </c>
      <c r="P1155">
        <v>12607.8</v>
      </c>
    </row>
    <row r="1156" spans="1:16" x14ac:dyDescent="0.3">
      <c r="A1156" s="1">
        <v>45901</v>
      </c>
      <c r="B1156" s="2" t="s">
        <v>39</v>
      </c>
      <c r="C1156" s="2" t="s">
        <v>92</v>
      </c>
      <c r="D1156" s="2" t="s">
        <v>46</v>
      </c>
      <c r="E1156" s="2" t="s">
        <v>51</v>
      </c>
      <c r="F1156" s="2" t="s">
        <v>48</v>
      </c>
      <c r="G1156" s="2" t="s">
        <v>154</v>
      </c>
      <c r="H1156">
        <v>2</v>
      </c>
      <c r="I1156">
        <v>41</v>
      </c>
      <c r="J1156">
        <v>106.895</v>
      </c>
      <c r="K1156">
        <v>0.13500000000000001</v>
      </c>
      <c r="L1156">
        <v>51</v>
      </c>
      <c r="M1156">
        <v>4447.54</v>
      </c>
      <c r="N1156">
        <v>3865.2255999999998</v>
      </c>
      <c r="O1156">
        <v>2127</v>
      </c>
      <c r="P1156">
        <v>1738.2255999999998</v>
      </c>
    </row>
    <row r="1157" spans="1:16" x14ac:dyDescent="0.3">
      <c r="A1157" s="1">
        <v>45901</v>
      </c>
      <c r="B1157" s="2" t="s">
        <v>39</v>
      </c>
      <c r="C1157" s="2" t="s">
        <v>78</v>
      </c>
      <c r="D1157" s="2" t="s">
        <v>41</v>
      </c>
      <c r="E1157" s="2" t="s">
        <v>47</v>
      </c>
      <c r="F1157" s="2" t="s">
        <v>48</v>
      </c>
      <c r="G1157" s="2" t="s">
        <v>156</v>
      </c>
      <c r="H1157">
        <v>1</v>
      </c>
      <c r="I1157">
        <v>3</v>
      </c>
      <c r="J1157">
        <v>24.51</v>
      </c>
      <c r="K1157">
        <v>0</v>
      </c>
      <c r="L1157">
        <v>8</v>
      </c>
      <c r="M1157">
        <v>73.53</v>
      </c>
      <c r="N1157">
        <v>73.53</v>
      </c>
      <c r="O1157">
        <v>24</v>
      </c>
      <c r="P1157">
        <v>49.53</v>
      </c>
    </row>
    <row r="1158" spans="1:16" x14ac:dyDescent="0.3">
      <c r="A1158" s="1">
        <v>45901</v>
      </c>
      <c r="B1158" s="2" t="s">
        <v>65</v>
      </c>
      <c r="C1158" s="2" t="s">
        <v>134</v>
      </c>
      <c r="D1158" s="2" t="s">
        <v>41</v>
      </c>
      <c r="E1158" s="2" t="s">
        <v>51</v>
      </c>
      <c r="F1158" s="2" t="s">
        <v>48</v>
      </c>
      <c r="G1158" s="2" t="s">
        <v>218</v>
      </c>
      <c r="H1158">
        <v>1</v>
      </c>
      <c r="I1158">
        <v>13</v>
      </c>
      <c r="J1158">
        <v>67.98</v>
      </c>
      <c r="K1158">
        <v>0</v>
      </c>
      <c r="L1158">
        <v>31</v>
      </c>
      <c r="M1158">
        <v>883.74</v>
      </c>
      <c r="N1158">
        <v>883.74</v>
      </c>
      <c r="O1158">
        <v>403</v>
      </c>
      <c r="P1158">
        <v>480.74</v>
      </c>
    </row>
    <row r="1159" spans="1:16" x14ac:dyDescent="0.3">
      <c r="A1159" s="1">
        <v>45901</v>
      </c>
      <c r="B1159" s="2" t="s">
        <v>65</v>
      </c>
      <c r="C1159" s="2" t="s">
        <v>134</v>
      </c>
      <c r="D1159" s="2" t="s">
        <v>41</v>
      </c>
      <c r="E1159" s="2" t="s">
        <v>51</v>
      </c>
      <c r="F1159" s="2" t="s">
        <v>52</v>
      </c>
      <c r="G1159" s="2" t="s">
        <v>218</v>
      </c>
      <c r="H1159">
        <v>1</v>
      </c>
      <c r="I1159">
        <v>7</v>
      </c>
      <c r="J1159">
        <v>38.68</v>
      </c>
      <c r="K1159">
        <v>0</v>
      </c>
      <c r="L1159">
        <v>18</v>
      </c>
      <c r="M1159">
        <v>270.76</v>
      </c>
      <c r="N1159">
        <v>270.76</v>
      </c>
      <c r="O1159">
        <v>126</v>
      </c>
      <c r="P1159">
        <v>144.76</v>
      </c>
    </row>
    <row r="1160" spans="1:16" x14ac:dyDescent="0.3">
      <c r="A1160" s="1">
        <v>45901</v>
      </c>
      <c r="B1160" s="2" t="s">
        <v>39</v>
      </c>
      <c r="C1160" s="2" t="s">
        <v>78</v>
      </c>
      <c r="D1160" s="2" t="s">
        <v>46</v>
      </c>
      <c r="E1160" s="2" t="s">
        <v>42</v>
      </c>
      <c r="F1160" s="2" t="s">
        <v>52</v>
      </c>
      <c r="G1160" s="2" t="s">
        <v>223</v>
      </c>
      <c r="H1160">
        <v>1</v>
      </c>
      <c r="I1160">
        <v>3</v>
      </c>
      <c r="J1160">
        <v>44.56</v>
      </c>
      <c r="K1160">
        <v>0.05</v>
      </c>
      <c r="L1160">
        <v>18</v>
      </c>
      <c r="M1160">
        <v>133.68</v>
      </c>
      <c r="N1160">
        <v>126.996</v>
      </c>
      <c r="O1160">
        <v>54</v>
      </c>
      <c r="P1160">
        <v>72.995999999999995</v>
      </c>
    </row>
    <row r="1161" spans="1:16" x14ac:dyDescent="0.3">
      <c r="A1161" s="1">
        <v>45901</v>
      </c>
      <c r="B1161" s="2" t="s">
        <v>197</v>
      </c>
      <c r="C1161" s="2" t="s">
        <v>40</v>
      </c>
      <c r="D1161" s="2" t="s">
        <v>50</v>
      </c>
      <c r="E1161" s="2" t="s">
        <v>47</v>
      </c>
      <c r="F1161" s="2" t="s">
        <v>48</v>
      </c>
      <c r="G1161" s="2" t="s">
        <v>198</v>
      </c>
      <c r="H1161">
        <v>1</v>
      </c>
      <c r="I1161">
        <v>1</v>
      </c>
      <c r="J1161">
        <v>139.59</v>
      </c>
      <c r="K1161">
        <v>0</v>
      </c>
      <c r="L1161">
        <v>63</v>
      </c>
      <c r="M1161">
        <v>139.59</v>
      </c>
      <c r="N1161">
        <v>139.59</v>
      </c>
      <c r="O1161">
        <v>63</v>
      </c>
      <c r="P1161">
        <v>76.59</v>
      </c>
    </row>
    <row r="1162" spans="1:16" x14ac:dyDescent="0.3">
      <c r="A1162" s="1">
        <v>45901</v>
      </c>
      <c r="B1162" s="2" t="s">
        <v>39</v>
      </c>
      <c r="C1162" s="2" t="s">
        <v>88</v>
      </c>
      <c r="D1162" s="2" t="s">
        <v>46</v>
      </c>
      <c r="E1162" s="2" t="s">
        <v>42</v>
      </c>
      <c r="F1162" s="2" t="s">
        <v>43</v>
      </c>
      <c r="G1162" s="2" t="s">
        <v>105</v>
      </c>
      <c r="H1162">
        <v>2</v>
      </c>
      <c r="I1162">
        <v>2</v>
      </c>
      <c r="J1162">
        <v>564.55500000000006</v>
      </c>
      <c r="K1162">
        <v>0.1</v>
      </c>
      <c r="L1162">
        <v>351</v>
      </c>
      <c r="M1162">
        <v>1129.1100000000001</v>
      </c>
      <c r="N1162">
        <v>1005.0308</v>
      </c>
      <c r="O1162">
        <v>702</v>
      </c>
      <c r="P1162">
        <v>303.0308</v>
      </c>
    </row>
    <row r="1163" spans="1:16" x14ac:dyDescent="0.3">
      <c r="A1163" s="1">
        <v>45901</v>
      </c>
      <c r="B1163" s="2" t="s">
        <v>56</v>
      </c>
      <c r="C1163" s="2" t="s">
        <v>72</v>
      </c>
      <c r="D1163" s="2" t="s">
        <v>50</v>
      </c>
      <c r="E1163" s="2" t="s">
        <v>47</v>
      </c>
      <c r="F1163" s="2" t="s">
        <v>48</v>
      </c>
      <c r="G1163" s="2" t="s">
        <v>118</v>
      </c>
      <c r="H1163">
        <v>1</v>
      </c>
      <c r="I1163">
        <v>2</v>
      </c>
      <c r="J1163">
        <v>76.09</v>
      </c>
      <c r="K1163">
        <v>0.05</v>
      </c>
      <c r="L1163">
        <v>31</v>
      </c>
      <c r="M1163">
        <v>152.18</v>
      </c>
      <c r="N1163">
        <v>144.571</v>
      </c>
      <c r="O1163">
        <v>62</v>
      </c>
      <c r="P1163">
        <v>82.570999999999998</v>
      </c>
    </row>
    <row r="1164" spans="1:16" x14ac:dyDescent="0.3">
      <c r="A1164" s="1">
        <v>45901</v>
      </c>
      <c r="B1164" s="2" t="s">
        <v>39</v>
      </c>
      <c r="C1164" s="2" t="s">
        <v>45</v>
      </c>
      <c r="D1164" s="2" t="s">
        <v>158</v>
      </c>
      <c r="E1164" s="2" t="s">
        <v>42</v>
      </c>
      <c r="F1164" s="2" t="s">
        <v>43</v>
      </c>
      <c r="G1164" s="2" t="s">
        <v>86</v>
      </c>
      <c r="H1164">
        <v>1</v>
      </c>
      <c r="I1164">
        <v>2</v>
      </c>
      <c r="J1164">
        <v>174.14</v>
      </c>
      <c r="K1164">
        <v>0</v>
      </c>
      <c r="L1164">
        <v>86</v>
      </c>
      <c r="M1164">
        <v>348.28</v>
      </c>
      <c r="N1164">
        <v>348.28</v>
      </c>
      <c r="O1164">
        <v>172</v>
      </c>
      <c r="P1164">
        <v>176.27999999999997</v>
      </c>
    </row>
    <row r="1165" spans="1:16" x14ac:dyDescent="0.3">
      <c r="A1165" s="1">
        <v>45901</v>
      </c>
      <c r="B1165" s="2" t="s">
        <v>39</v>
      </c>
      <c r="C1165" s="2" t="s">
        <v>54</v>
      </c>
      <c r="D1165" s="2" t="s">
        <v>41</v>
      </c>
      <c r="E1165" s="2" t="s">
        <v>51</v>
      </c>
      <c r="F1165" s="2" t="s">
        <v>43</v>
      </c>
      <c r="G1165" s="2" t="s">
        <v>55</v>
      </c>
      <c r="H1165">
        <v>1</v>
      </c>
      <c r="I1165">
        <v>9</v>
      </c>
      <c r="J1165">
        <v>99.89</v>
      </c>
      <c r="K1165">
        <v>0</v>
      </c>
      <c r="L1165">
        <v>54</v>
      </c>
      <c r="M1165">
        <v>899.01</v>
      </c>
      <c r="N1165">
        <v>899.01</v>
      </c>
      <c r="O1165">
        <v>486</v>
      </c>
      <c r="P1165">
        <v>413.01</v>
      </c>
    </row>
    <row r="1166" spans="1:16" x14ac:dyDescent="0.3">
      <c r="A1166" s="1">
        <v>45901</v>
      </c>
      <c r="B1166" s="2" t="s">
        <v>75</v>
      </c>
      <c r="C1166" s="2" t="s">
        <v>106</v>
      </c>
      <c r="D1166" s="2" t="s">
        <v>46</v>
      </c>
      <c r="E1166" s="2" t="s">
        <v>42</v>
      </c>
      <c r="F1166" s="2" t="s">
        <v>43</v>
      </c>
      <c r="G1166" s="2" t="s">
        <v>107</v>
      </c>
      <c r="H1166">
        <v>1</v>
      </c>
      <c r="I1166">
        <v>1</v>
      </c>
      <c r="J1166">
        <v>804.78</v>
      </c>
      <c r="K1166">
        <v>0.08</v>
      </c>
      <c r="L1166">
        <v>520</v>
      </c>
      <c r="M1166">
        <v>804.78</v>
      </c>
      <c r="N1166">
        <v>740.39760000000001</v>
      </c>
      <c r="O1166">
        <v>520</v>
      </c>
      <c r="P1166">
        <v>220.39760000000001</v>
      </c>
    </row>
    <row r="1167" spans="1:16" x14ac:dyDescent="0.3">
      <c r="A1167" s="1">
        <v>45901</v>
      </c>
      <c r="B1167" s="2" t="s">
        <v>39</v>
      </c>
      <c r="C1167" s="2" t="s">
        <v>88</v>
      </c>
      <c r="D1167" s="2" t="s">
        <v>41</v>
      </c>
      <c r="E1167" s="2" t="s">
        <v>42</v>
      </c>
      <c r="F1167" s="2" t="s">
        <v>43</v>
      </c>
      <c r="G1167" s="2" t="s">
        <v>224</v>
      </c>
      <c r="H1167">
        <v>1</v>
      </c>
      <c r="I1167">
        <v>2</v>
      </c>
      <c r="J1167">
        <v>102.82</v>
      </c>
      <c r="K1167">
        <v>0</v>
      </c>
      <c r="L1167">
        <v>54</v>
      </c>
      <c r="M1167">
        <v>205.64</v>
      </c>
      <c r="N1167">
        <v>205.64</v>
      </c>
      <c r="O1167">
        <v>108</v>
      </c>
      <c r="P1167">
        <v>97.639999999999986</v>
      </c>
    </row>
    <row r="1168" spans="1:16" x14ac:dyDescent="0.3">
      <c r="A1168" s="1">
        <v>45901</v>
      </c>
      <c r="B1168" s="2" t="s">
        <v>39</v>
      </c>
      <c r="C1168" s="2" t="s">
        <v>88</v>
      </c>
      <c r="D1168" s="2" t="s">
        <v>41</v>
      </c>
      <c r="E1168" s="2" t="s">
        <v>42</v>
      </c>
      <c r="F1168" s="2" t="s">
        <v>48</v>
      </c>
      <c r="G1168" s="2" t="s">
        <v>224</v>
      </c>
      <c r="H1168">
        <v>2</v>
      </c>
      <c r="I1168">
        <v>2</v>
      </c>
      <c r="J1168">
        <v>103.245</v>
      </c>
      <c r="K1168">
        <v>0</v>
      </c>
      <c r="L1168">
        <v>47</v>
      </c>
      <c r="M1168">
        <v>206.49</v>
      </c>
      <c r="N1168">
        <v>206.49</v>
      </c>
      <c r="O1168">
        <v>94</v>
      </c>
      <c r="P1168">
        <v>112.49</v>
      </c>
    </row>
    <row r="1169" spans="1:16" x14ac:dyDescent="0.3">
      <c r="A1169" s="1">
        <v>45901</v>
      </c>
      <c r="B1169" s="2" t="s">
        <v>39</v>
      </c>
      <c r="C1169" s="2" t="s">
        <v>40</v>
      </c>
      <c r="D1169" s="2" t="s">
        <v>46</v>
      </c>
      <c r="E1169" s="2" t="s">
        <v>42</v>
      </c>
      <c r="F1169" s="2" t="s">
        <v>43</v>
      </c>
      <c r="G1169" s="2" t="s">
        <v>167</v>
      </c>
      <c r="H1169">
        <v>3</v>
      </c>
      <c r="I1169">
        <v>8</v>
      </c>
      <c r="J1169">
        <v>527.09666666666658</v>
      </c>
      <c r="K1169">
        <v>0.08</v>
      </c>
      <c r="L1169">
        <v>323</v>
      </c>
      <c r="M1169">
        <v>4638.12</v>
      </c>
      <c r="N1169">
        <v>4267.0704000000005</v>
      </c>
      <c r="O1169">
        <v>2853</v>
      </c>
      <c r="P1169">
        <v>1414.0704000000001</v>
      </c>
    </row>
    <row r="1170" spans="1:16" x14ac:dyDescent="0.3">
      <c r="A1170" s="1">
        <v>45901</v>
      </c>
      <c r="B1170" s="2" t="s">
        <v>39</v>
      </c>
      <c r="C1170" s="2" t="s">
        <v>40</v>
      </c>
      <c r="D1170" s="2" t="s">
        <v>46</v>
      </c>
      <c r="E1170" s="2" t="s">
        <v>42</v>
      </c>
      <c r="F1170" s="2" t="s">
        <v>48</v>
      </c>
      <c r="G1170" s="2" t="s">
        <v>167</v>
      </c>
      <c r="H1170">
        <v>1</v>
      </c>
      <c r="I1170">
        <v>4</v>
      </c>
      <c r="J1170">
        <v>133.27000000000001</v>
      </c>
      <c r="K1170">
        <v>0.1</v>
      </c>
      <c r="L1170">
        <v>63</v>
      </c>
      <c r="M1170">
        <v>533.08000000000004</v>
      </c>
      <c r="N1170">
        <v>479.77200000000005</v>
      </c>
      <c r="O1170">
        <v>252</v>
      </c>
      <c r="P1170">
        <v>227.77200000000005</v>
      </c>
    </row>
    <row r="1171" spans="1:16" x14ac:dyDescent="0.3">
      <c r="A1171" s="1">
        <v>45901</v>
      </c>
      <c r="B1171" s="2" t="s">
        <v>56</v>
      </c>
      <c r="C1171" s="2" t="s">
        <v>72</v>
      </c>
      <c r="D1171" s="2" t="s">
        <v>41</v>
      </c>
      <c r="E1171" s="2" t="s">
        <v>51</v>
      </c>
      <c r="F1171" s="2" t="s">
        <v>43</v>
      </c>
      <c r="G1171" s="2" t="s">
        <v>175</v>
      </c>
      <c r="H1171">
        <v>1</v>
      </c>
      <c r="I1171">
        <v>13</v>
      </c>
      <c r="J1171">
        <v>156.91999999999999</v>
      </c>
      <c r="K1171">
        <v>0.05</v>
      </c>
      <c r="L1171">
        <v>86</v>
      </c>
      <c r="M1171">
        <v>2039.9599999999998</v>
      </c>
      <c r="N1171">
        <v>1937.9619999999998</v>
      </c>
      <c r="O1171">
        <v>1118</v>
      </c>
      <c r="P1171">
        <v>819.96199999999976</v>
      </c>
    </row>
    <row r="1172" spans="1:16" x14ac:dyDescent="0.3">
      <c r="A1172" s="1">
        <v>45901</v>
      </c>
      <c r="B1172" s="2" t="s">
        <v>39</v>
      </c>
      <c r="C1172" s="2" t="s">
        <v>92</v>
      </c>
      <c r="D1172" s="2" t="s">
        <v>50</v>
      </c>
      <c r="E1172" s="2" t="s">
        <v>42</v>
      </c>
      <c r="F1172" s="2" t="s">
        <v>52</v>
      </c>
      <c r="G1172" s="2" t="s">
        <v>130</v>
      </c>
      <c r="H1172">
        <v>1</v>
      </c>
      <c r="I1172">
        <v>2</v>
      </c>
      <c r="J1172">
        <v>203.29</v>
      </c>
      <c r="K1172">
        <v>0.05</v>
      </c>
      <c r="L1172">
        <v>124</v>
      </c>
      <c r="M1172">
        <v>406.58</v>
      </c>
      <c r="N1172">
        <v>386.25099999999998</v>
      </c>
      <c r="O1172">
        <v>248</v>
      </c>
      <c r="P1172">
        <v>138.25099999999998</v>
      </c>
    </row>
    <row r="1173" spans="1:16" x14ac:dyDescent="0.3">
      <c r="A1173" s="1">
        <v>45901</v>
      </c>
      <c r="B1173" s="2" t="s">
        <v>39</v>
      </c>
      <c r="C1173" s="2" t="s">
        <v>78</v>
      </c>
      <c r="D1173" s="2" t="s">
        <v>41</v>
      </c>
      <c r="E1173" s="2" t="s">
        <v>47</v>
      </c>
      <c r="F1173" s="2" t="s">
        <v>43</v>
      </c>
      <c r="G1173" s="2" t="s">
        <v>108</v>
      </c>
      <c r="H1173">
        <v>1</v>
      </c>
      <c r="I1173">
        <v>3</v>
      </c>
      <c r="J1173">
        <v>112.91</v>
      </c>
      <c r="K1173">
        <v>0.1</v>
      </c>
      <c r="L1173">
        <v>54</v>
      </c>
      <c r="M1173">
        <v>338.73</v>
      </c>
      <c r="N1173">
        <v>304.85700000000003</v>
      </c>
      <c r="O1173">
        <v>162</v>
      </c>
      <c r="P1173">
        <v>142.85700000000003</v>
      </c>
    </row>
    <row r="1174" spans="1:16" x14ac:dyDescent="0.3">
      <c r="A1174" s="1">
        <v>45901</v>
      </c>
      <c r="B1174" s="2" t="s">
        <v>39</v>
      </c>
      <c r="C1174" s="2" t="s">
        <v>78</v>
      </c>
      <c r="D1174" s="2" t="s">
        <v>41</v>
      </c>
      <c r="E1174" s="2" t="s">
        <v>47</v>
      </c>
      <c r="F1174" s="2" t="s">
        <v>48</v>
      </c>
      <c r="G1174" s="2" t="s">
        <v>108</v>
      </c>
      <c r="H1174">
        <v>1</v>
      </c>
      <c r="I1174">
        <v>1</v>
      </c>
      <c r="J1174">
        <v>142.71</v>
      </c>
      <c r="K1174">
        <v>0</v>
      </c>
      <c r="L1174">
        <v>63</v>
      </c>
      <c r="M1174">
        <v>142.71</v>
      </c>
      <c r="N1174">
        <v>142.71</v>
      </c>
      <c r="O1174">
        <v>63</v>
      </c>
      <c r="P1174">
        <v>79.710000000000008</v>
      </c>
    </row>
    <row r="1175" spans="1:16" x14ac:dyDescent="0.3">
      <c r="A1175" s="1">
        <v>45901</v>
      </c>
      <c r="B1175" s="2" t="s">
        <v>56</v>
      </c>
      <c r="C1175" s="2" t="s">
        <v>57</v>
      </c>
      <c r="D1175" s="2" t="s">
        <v>46</v>
      </c>
      <c r="E1175" s="2" t="s">
        <v>42</v>
      </c>
      <c r="F1175" s="2" t="s">
        <v>43</v>
      </c>
      <c r="G1175" s="2" t="s">
        <v>219</v>
      </c>
      <c r="H1175">
        <v>1</v>
      </c>
      <c r="I1175">
        <v>3</v>
      </c>
      <c r="J1175">
        <v>109.88</v>
      </c>
      <c r="K1175">
        <v>0.08</v>
      </c>
      <c r="L1175">
        <v>54</v>
      </c>
      <c r="M1175">
        <v>329.64</v>
      </c>
      <c r="N1175">
        <v>303.2688</v>
      </c>
      <c r="O1175">
        <v>162</v>
      </c>
      <c r="P1175">
        <v>141.2688</v>
      </c>
    </row>
    <row r="1176" spans="1:16" x14ac:dyDescent="0.3">
      <c r="A1176" s="1">
        <v>45901</v>
      </c>
      <c r="B1176" s="2" t="s">
        <v>39</v>
      </c>
      <c r="C1176" s="2" t="s">
        <v>78</v>
      </c>
      <c r="D1176" s="2" t="s">
        <v>41</v>
      </c>
      <c r="E1176" s="2" t="s">
        <v>42</v>
      </c>
      <c r="F1176" s="2" t="s">
        <v>43</v>
      </c>
      <c r="G1176" s="2" t="s">
        <v>123</v>
      </c>
      <c r="H1176">
        <v>2</v>
      </c>
      <c r="I1176">
        <v>4</v>
      </c>
      <c r="J1176">
        <v>284.27999999999997</v>
      </c>
      <c r="K1176">
        <v>0</v>
      </c>
      <c r="L1176">
        <v>182</v>
      </c>
      <c r="M1176">
        <v>1137.1199999999999</v>
      </c>
      <c r="N1176">
        <v>1137.1199999999999</v>
      </c>
      <c r="O1176">
        <v>728</v>
      </c>
      <c r="P1176">
        <v>409.11999999999989</v>
      </c>
    </row>
    <row r="1177" spans="1:16" x14ac:dyDescent="0.3">
      <c r="A1177" s="1">
        <v>45901</v>
      </c>
      <c r="B1177" s="2" t="s">
        <v>39</v>
      </c>
      <c r="C1177" s="2" t="s">
        <v>45</v>
      </c>
      <c r="D1177" s="2" t="s">
        <v>41</v>
      </c>
      <c r="E1177" s="2" t="s">
        <v>42</v>
      </c>
      <c r="F1177" s="2" t="s">
        <v>52</v>
      </c>
      <c r="G1177" s="2" t="s">
        <v>183</v>
      </c>
      <c r="H1177">
        <v>1</v>
      </c>
      <c r="I1177">
        <v>1</v>
      </c>
      <c r="J1177">
        <v>42.23</v>
      </c>
      <c r="K1177">
        <v>0.05</v>
      </c>
      <c r="L1177">
        <v>18</v>
      </c>
      <c r="M1177">
        <v>42.23</v>
      </c>
      <c r="N1177">
        <v>40.118499999999997</v>
      </c>
      <c r="O1177">
        <v>18</v>
      </c>
      <c r="P1177">
        <v>22.118499999999997</v>
      </c>
    </row>
    <row r="1178" spans="1:16" x14ac:dyDescent="0.3">
      <c r="A1178" s="1">
        <v>45901</v>
      </c>
      <c r="B1178" s="2" t="s">
        <v>39</v>
      </c>
      <c r="C1178" s="2" t="s">
        <v>45</v>
      </c>
      <c r="D1178" s="2" t="s">
        <v>41</v>
      </c>
      <c r="E1178" s="2" t="s">
        <v>42</v>
      </c>
      <c r="F1178" s="2" t="s">
        <v>48</v>
      </c>
      <c r="G1178" s="2" t="s">
        <v>183</v>
      </c>
      <c r="H1178">
        <v>2</v>
      </c>
      <c r="I1178">
        <v>6</v>
      </c>
      <c r="J1178">
        <v>58.055</v>
      </c>
      <c r="K1178">
        <v>0.05</v>
      </c>
      <c r="L1178">
        <v>23.5</v>
      </c>
      <c r="M1178">
        <v>279.98</v>
      </c>
      <c r="N1178">
        <v>261.53399999999999</v>
      </c>
      <c r="O1178">
        <v>110</v>
      </c>
      <c r="P1178">
        <v>151.53399999999999</v>
      </c>
    </row>
    <row r="1179" spans="1:16" x14ac:dyDescent="0.3">
      <c r="A1179" s="1">
        <v>45901</v>
      </c>
      <c r="B1179" s="2" t="s">
        <v>56</v>
      </c>
      <c r="C1179" s="2" t="s">
        <v>72</v>
      </c>
      <c r="D1179" s="2" t="s">
        <v>46</v>
      </c>
      <c r="E1179" s="2" t="s">
        <v>51</v>
      </c>
      <c r="F1179" s="2" t="s">
        <v>43</v>
      </c>
      <c r="G1179" s="2" t="s">
        <v>199</v>
      </c>
      <c r="H1179">
        <v>2</v>
      </c>
      <c r="I1179">
        <v>8</v>
      </c>
      <c r="J1179">
        <v>595.92499999999995</v>
      </c>
      <c r="K1179">
        <v>8.4999999999999992E-2</v>
      </c>
      <c r="L1179">
        <v>423</v>
      </c>
      <c r="M1179">
        <v>4767.3999999999996</v>
      </c>
      <c r="N1179">
        <v>4483.7287999999999</v>
      </c>
      <c r="O1179">
        <v>3384</v>
      </c>
      <c r="P1179">
        <v>1099.7287999999996</v>
      </c>
    </row>
    <row r="1180" spans="1:16" x14ac:dyDescent="0.3">
      <c r="A1180" s="1">
        <v>45901</v>
      </c>
      <c r="B1180" s="2" t="s">
        <v>197</v>
      </c>
      <c r="C1180" s="2" t="s">
        <v>45</v>
      </c>
      <c r="D1180" s="2" t="s">
        <v>50</v>
      </c>
      <c r="E1180" s="2" t="s">
        <v>51</v>
      </c>
      <c r="F1180" s="2" t="s">
        <v>43</v>
      </c>
      <c r="G1180" s="2" t="s">
        <v>226</v>
      </c>
      <c r="H1180">
        <v>1</v>
      </c>
      <c r="I1180">
        <v>8</v>
      </c>
      <c r="J1180">
        <v>96.27</v>
      </c>
      <c r="K1180">
        <v>0.1</v>
      </c>
      <c r="L1180">
        <v>54</v>
      </c>
      <c r="M1180">
        <v>770.16</v>
      </c>
      <c r="N1180">
        <v>693.14400000000001</v>
      </c>
      <c r="O1180">
        <v>432</v>
      </c>
      <c r="P1180">
        <v>261.14400000000001</v>
      </c>
    </row>
    <row r="1181" spans="1:16" x14ac:dyDescent="0.3">
      <c r="A1181" s="1">
        <v>45901</v>
      </c>
      <c r="B1181" s="2" t="s">
        <v>39</v>
      </c>
      <c r="C1181" s="2" t="s">
        <v>78</v>
      </c>
      <c r="D1181" s="2" t="s">
        <v>41</v>
      </c>
      <c r="E1181" s="2" t="s">
        <v>42</v>
      </c>
      <c r="F1181" s="2" t="s">
        <v>43</v>
      </c>
      <c r="G1181" s="2" t="s">
        <v>119</v>
      </c>
      <c r="H1181">
        <v>2</v>
      </c>
      <c r="I1181">
        <v>5</v>
      </c>
      <c r="J1181">
        <v>461.84</v>
      </c>
      <c r="K1181">
        <v>0</v>
      </c>
      <c r="L1181">
        <v>288.5</v>
      </c>
      <c r="M1181">
        <v>2470.27</v>
      </c>
      <c r="N1181">
        <v>2470.27</v>
      </c>
      <c r="O1181">
        <v>1549</v>
      </c>
      <c r="P1181">
        <v>921.27</v>
      </c>
    </row>
    <row r="1182" spans="1:16" x14ac:dyDescent="0.3">
      <c r="A1182" s="1">
        <v>45901</v>
      </c>
      <c r="B1182" s="2" t="s">
        <v>83</v>
      </c>
      <c r="C1182" s="2" t="s">
        <v>84</v>
      </c>
      <c r="D1182" s="2" t="s">
        <v>41</v>
      </c>
      <c r="E1182" s="2" t="s">
        <v>42</v>
      </c>
      <c r="F1182" s="2" t="s">
        <v>43</v>
      </c>
      <c r="G1182" s="2" t="s">
        <v>222</v>
      </c>
      <c r="H1182">
        <v>1</v>
      </c>
      <c r="I1182">
        <v>3</v>
      </c>
      <c r="J1182">
        <v>110.6</v>
      </c>
      <c r="K1182">
        <v>0.05</v>
      </c>
      <c r="L1182">
        <v>54</v>
      </c>
      <c r="M1182">
        <v>331.79999999999995</v>
      </c>
      <c r="N1182">
        <v>315.20999999999992</v>
      </c>
      <c r="O1182">
        <v>162</v>
      </c>
      <c r="P1182">
        <v>153.20999999999992</v>
      </c>
    </row>
    <row r="1183" spans="1:16" x14ac:dyDescent="0.3">
      <c r="A1183" s="1">
        <v>45901</v>
      </c>
      <c r="B1183" s="2" t="s">
        <v>39</v>
      </c>
      <c r="C1183" s="2" t="s">
        <v>45</v>
      </c>
      <c r="D1183" s="2" t="s">
        <v>41</v>
      </c>
      <c r="E1183" s="2" t="s">
        <v>47</v>
      </c>
      <c r="F1183" s="2" t="s">
        <v>52</v>
      </c>
      <c r="G1183" s="2" t="s">
        <v>87</v>
      </c>
      <c r="H1183">
        <v>1</v>
      </c>
      <c r="I1183">
        <v>2</v>
      </c>
      <c r="J1183">
        <v>215.52</v>
      </c>
      <c r="K1183">
        <v>0</v>
      </c>
      <c r="L1183">
        <v>124</v>
      </c>
      <c r="M1183">
        <v>431.04</v>
      </c>
      <c r="N1183">
        <v>431.04</v>
      </c>
      <c r="O1183">
        <v>248</v>
      </c>
      <c r="P1183">
        <v>183.04000000000002</v>
      </c>
    </row>
    <row r="1184" spans="1:16" x14ac:dyDescent="0.3">
      <c r="A1184" s="1">
        <v>45901</v>
      </c>
      <c r="B1184" s="2" t="s">
        <v>39</v>
      </c>
      <c r="C1184" s="2" t="s">
        <v>45</v>
      </c>
      <c r="D1184" s="2" t="s">
        <v>41</v>
      </c>
      <c r="E1184" s="2" t="s">
        <v>42</v>
      </c>
      <c r="F1184" s="2" t="s">
        <v>48</v>
      </c>
      <c r="G1184" s="2" t="s">
        <v>129</v>
      </c>
      <c r="H1184">
        <v>2</v>
      </c>
      <c r="I1184">
        <v>4</v>
      </c>
      <c r="J1184">
        <v>92.6</v>
      </c>
      <c r="K1184">
        <v>0</v>
      </c>
      <c r="L1184">
        <v>39</v>
      </c>
      <c r="M1184">
        <v>367.2</v>
      </c>
      <c r="N1184">
        <v>367.2</v>
      </c>
      <c r="O1184">
        <v>156</v>
      </c>
      <c r="P1184">
        <v>211.2</v>
      </c>
    </row>
    <row r="1185" spans="1:16" x14ac:dyDescent="0.3">
      <c r="A1185" s="1">
        <v>45901</v>
      </c>
      <c r="B1185" s="2" t="s">
        <v>39</v>
      </c>
      <c r="C1185" s="2" t="s">
        <v>45</v>
      </c>
      <c r="D1185" s="2" t="s">
        <v>41</v>
      </c>
      <c r="E1185" s="2" t="s">
        <v>42</v>
      </c>
      <c r="F1185" s="2" t="s">
        <v>43</v>
      </c>
      <c r="G1185" s="2" t="s">
        <v>129</v>
      </c>
      <c r="H1185">
        <v>1</v>
      </c>
      <c r="I1185">
        <v>1</v>
      </c>
      <c r="J1185">
        <v>799.57</v>
      </c>
      <c r="K1185">
        <v>0</v>
      </c>
      <c r="L1185">
        <v>520</v>
      </c>
      <c r="M1185">
        <v>799.57</v>
      </c>
      <c r="N1185">
        <v>799.57</v>
      </c>
      <c r="O1185">
        <v>520</v>
      </c>
      <c r="P1185">
        <v>279.57000000000005</v>
      </c>
    </row>
    <row r="1186" spans="1:16" x14ac:dyDescent="0.3">
      <c r="A1186" s="1">
        <v>45901</v>
      </c>
      <c r="B1186" s="2" t="s">
        <v>56</v>
      </c>
      <c r="C1186" s="2" t="s">
        <v>62</v>
      </c>
      <c r="D1186" s="2" t="s">
        <v>46</v>
      </c>
      <c r="E1186" s="2" t="s">
        <v>51</v>
      </c>
      <c r="F1186" s="2" t="s">
        <v>48</v>
      </c>
      <c r="G1186" s="2" t="s">
        <v>74</v>
      </c>
      <c r="H1186">
        <v>1</v>
      </c>
      <c r="I1186">
        <v>7</v>
      </c>
      <c r="J1186">
        <v>123.29</v>
      </c>
      <c r="K1186">
        <v>0.1</v>
      </c>
      <c r="L1186">
        <v>63</v>
      </c>
      <c r="M1186">
        <v>863.03000000000009</v>
      </c>
      <c r="N1186">
        <v>776.72700000000009</v>
      </c>
      <c r="O1186">
        <v>441</v>
      </c>
      <c r="P1186">
        <v>335.72700000000009</v>
      </c>
    </row>
    <row r="1187" spans="1:16" x14ac:dyDescent="0.3">
      <c r="A1187" s="1">
        <v>45901</v>
      </c>
      <c r="B1187" s="2" t="s">
        <v>56</v>
      </c>
      <c r="C1187" s="2" t="s">
        <v>57</v>
      </c>
      <c r="D1187" s="2" t="s">
        <v>46</v>
      </c>
      <c r="E1187" s="2" t="s">
        <v>51</v>
      </c>
      <c r="F1187" s="2" t="s">
        <v>43</v>
      </c>
      <c r="G1187" s="2" t="s">
        <v>112</v>
      </c>
      <c r="H1187">
        <v>2</v>
      </c>
      <c r="I1187">
        <v>6</v>
      </c>
      <c r="J1187">
        <v>97.41</v>
      </c>
      <c r="K1187">
        <v>0.08</v>
      </c>
      <c r="L1187">
        <v>54</v>
      </c>
      <c r="M1187">
        <v>584.46</v>
      </c>
      <c r="N1187">
        <v>537.70320000000004</v>
      </c>
      <c r="O1187">
        <v>324</v>
      </c>
      <c r="P1187">
        <v>213.70320000000004</v>
      </c>
    </row>
    <row r="1188" spans="1:16" x14ac:dyDescent="0.3">
      <c r="A1188" s="1">
        <v>45901</v>
      </c>
      <c r="B1188" s="2" t="s">
        <v>39</v>
      </c>
      <c r="C1188" s="2" t="s">
        <v>92</v>
      </c>
      <c r="D1188" s="2" t="s">
        <v>41</v>
      </c>
      <c r="E1188" s="2" t="s">
        <v>42</v>
      </c>
      <c r="F1188" s="2" t="s">
        <v>48</v>
      </c>
      <c r="G1188" s="2" t="s">
        <v>187</v>
      </c>
      <c r="H1188">
        <v>4</v>
      </c>
      <c r="I1188">
        <v>6</v>
      </c>
      <c r="J1188">
        <v>87.414999999999992</v>
      </c>
      <c r="K1188">
        <v>1.2499999999999997E-2</v>
      </c>
      <c r="L1188">
        <v>37</v>
      </c>
      <c r="M1188">
        <v>535.63</v>
      </c>
      <c r="N1188">
        <v>531.09100000000001</v>
      </c>
      <c r="O1188">
        <v>226</v>
      </c>
      <c r="P1188">
        <v>305.09100000000001</v>
      </c>
    </row>
    <row r="1189" spans="1:16" x14ac:dyDescent="0.3">
      <c r="A1189" s="1">
        <v>45901</v>
      </c>
      <c r="B1189" s="2" t="s">
        <v>39</v>
      </c>
      <c r="C1189" s="2" t="s">
        <v>40</v>
      </c>
      <c r="D1189" s="2" t="s">
        <v>41</v>
      </c>
      <c r="E1189" s="2" t="s">
        <v>47</v>
      </c>
      <c r="F1189" s="2" t="s">
        <v>52</v>
      </c>
      <c r="G1189" s="2" t="s">
        <v>215</v>
      </c>
      <c r="H1189">
        <v>1</v>
      </c>
      <c r="I1189">
        <v>1</v>
      </c>
      <c r="J1189">
        <v>43.88</v>
      </c>
      <c r="K1189">
        <v>0</v>
      </c>
      <c r="L1189">
        <v>18</v>
      </c>
      <c r="M1189">
        <v>43.88</v>
      </c>
      <c r="N1189">
        <v>43.88</v>
      </c>
      <c r="O1189">
        <v>18</v>
      </c>
      <c r="P1189">
        <v>25.880000000000003</v>
      </c>
    </row>
    <row r="1190" spans="1:16" x14ac:dyDescent="0.3">
      <c r="A1190" s="1">
        <v>45901</v>
      </c>
      <c r="B1190" s="2" t="s">
        <v>39</v>
      </c>
      <c r="C1190" s="2" t="s">
        <v>78</v>
      </c>
      <c r="D1190" s="2" t="s">
        <v>46</v>
      </c>
      <c r="E1190" s="2" t="s">
        <v>42</v>
      </c>
      <c r="F1190" s="2" t="s">
        <v>43</v>
      </c>
      <c r="G1190" s="2" t="s">
        <v>79</v>
      </c>
      <c r="H1190">
        <v>1</v>
      </c>
      <c r="I1190">
        <v>1</v>
      </c>
      <c r="J1190">
        <v>281.10000000000002</v>
      </c>
      <c r="K1190">
        <v>0.08</v>
      </c>
      <c r="L1190">
        <v>182</v>
      </c>
      <c r="M1190">
        <v>281.10000000000002</v>
      </c>
      <c r="N1190">
        <v>258.61200000000002</v>
      </c>
      <c r="O1190">
        <v>182</v>
      </c>
      <c r="P1190">
        <v>76.612000000000023</v>
      </c>
    </row>
    <row r="1191" spans="1:16" x14ac:dyDescent="0.3">
      <c r="A1191" s="1">
        <v>45901</v>
      </c>
      <c r="B1191" s="2" t="s">
        <v>39</v>
      </c>
      <c r="C1191" s="2" t="s">
        <v>92</v>
      </c>
      <c r="D1191" s="2" t="s">
        <v>41</v>
      </c>
      <c r="E1191" s="2" t="s">
        <v>42</v>
      </c>
      <c r="F1191" s="2" t="s">
        <v>48</v>
      </c>
      <c r="G1191" s="2" t="s">
        <v>148</v>
      </c>
      <c r="H1191">
        <v>2</v>
      </c>
      <c r="I1191">
        <v>4</v>
      </c>
      <c r="J1191">
        <v>47.9</v>
      </c>
      <c r="K1191">
        <v>0</v>
      </c>
      <c r="L1191">
        <v>19.5</v>
      </c>
      <c r="M1191">
        <v>142.12</v>
      </c>
      <c r="N1191">
        <v>142.12</v>
      </c>
      <c r="O1191">
        <v>55</v>
      </c>
      <c r="P1191">
        <v>87.12</v>
      </c>
    </row>
    <row r="1192" spans="1:16" x14ac:dyDescent="0.3">
      <c r="A1192" s="1">
        <v>45901</v>
      </c>
      <c r="B1192" s="2" t="s">
        <v>39</v>
      </c>
      <c r="C1192" s="2" t="s">
        <v>88</v>
      </c>
      <c r="D1192" s="2" t="s">
        <v>95</v>
      </c>
      <c r="E1192" s="2" t="s">
        <v>42</v>
      </c>
      <c r="F1192" s="2" t="s">
        <v>43</v>
      </c>
      <c r="G1192" s="2" t="s">
        <v>204</v>
      </c>
      <c r="H1192">
        <v>1</v>
      </c>
      <c r="I1192">
        <v>2</v>
      </c>
      <c r="J1192">
        <v>168.3</v>
      </c>
      <c r="K1192">
        <v>0.12</v>
      </c>
      <c r="L1192">
        <v>1</v>
      </c>
      <c r="M1192">
        <v>336.6</v>
      </c>
      <c r="N1192">
        <v>296.20800000000003</v>
      </c>
      <c r="O1192">
        <v>2</v>
      </c>
      <c r="P1192">
        <v>294.20800000000003</v>
      </c>
    </row>
    <row r="1193" spans="1:16" x14ac:dyDescent="0.3">
      <c r="A1193" s="1">
        <v>45901</v>
      </c>
      <c r="B1193" s="2" t="s">
        <v>39</v>
      </c>
      <c r="C1193" s="2" t="s">
        <v>92</v>
      </c>
      <c r="D1193" s="2" t="s">
        <v>41</v>
      </c>
      <c r="E1193" s="2" t="s">
        <v>42</v>
      </c>
      <c r="F1193" s="2" t="s">
        <v>43</v>
      </c>
      <c r="G1193" s="2" t="s">
        <v>196</v>
      </c>
      <c r="H1193">
        <v>2</v>
      </c>
      <c r="I1193">
        <v>4</v>
      </c>
      <c r="J1193">
        <v>476.35</v>
      </c>
      <c r="K1193">
        <v>0</v>
      </c>
      <c r="L1193">
        <v>287</v>
      </c>
      <c r="M1193">
        <v>2652.16</v>
      </c>
      <c r="N1193">
        <v>2652.16</v>
      </c>
      <c r="O1193">
        <v>1614</v>
      </c>
      <c r="P1193">
        <v>1038.1600000000001</v>
      </c>
    </row>
    <row r="1194" spans="1:16" x14ac:dyDescent="0.3">
      <c r="A1194" s="1">
        <v>45901</v>
      </c>
      <c r="B1194" s="2" t="s">
        <v>39</v>
      </c>
      <c r="C1194" s="2" t="s">
        <v>40</v>
      </c>
      <c r="D1194" s="2" t="s">
        <v>41</v>
      </c>
      <c r="E1194" s="2" t="s">
        <v>51</v>
      </c>
      <c r="F1194" s="2" t="s">
        <v>52</v>
      </c>
      <c r="G1194" s="2" t="s">
        <v>44</v>
      </c>
      <c r="H1194">
        <v>1</v>
      </c>
      <c r="I1194">
        <v>5</v>
      </c>
      <c r="J1194">
        <v>38.89</v>
      </c>
      <c r="K1194">
        <v>0</v>
      </c>
      <c r="L1194">
        <v>18</v>
      </c>
      <c r="M1194">
        <v>194.45</v>
      </c>
      <c r="N1194">
        <v>194.45</v>
      </c>
      <c r="O1194">
        <v>90</v>
      </c>
      <c r="P1194">
        <v>104.44999999999999</v>
      </c>
    </row>
    <row r="1195" spans="1:16" x14ac:dyDescent="0.3">
      <c r="A1195" s="1">
        <v>45901</v>
      </c>
      <c r="B1195" s="2" t="s">
        <v>39</v>
      </c>
      <c r="C1195" s="2" t="s">
        <v>40</v>
      </c>
      <c r="D1195" s="2" t="s">
        <v>41</v>
      </c>
      <c r="E1195" s="2" t="s">
        <v>51</v>
      </c>
      <c r="F1195" s="2" t="s">
        <v>48</v>
      </c>
      <c r="G1195" s="2" t="s">
        <v>113</v>
      </c>
      <c r="H1195">
        <v>2</v>
      </c>
      <c r="I1195">
        <v>21</v>
      </c>
      <c r="J1195">
        <v>82.055000000000007</v>
      </c>
      <c r="K1195">
        <v>0</v>
      </c>
      <c r="L1195">
        <v>39</v>
      </c>
      <c r="M1195">
        <v>1722.83</v>
      </c>
      <c r="N1195">
        <v>1722.83</v>
      </c>
      <c r="O1195">
        <v>819</v>
      </c>
      <c r="P1195">
        <v>903.83</v>
      </c>
    </row>
    <row r="1196" spans="1:16" x14ac:dyDescent="0.3">
      <c r="A1196" s="1">
        <v>45901</v>
      </c>
      <c r="B1196" s="2" t="s">
        <v>39</v>
      </c>
      <c r="C1196" s="2" t="s">
        <v>88</v>
      </c>
      <c r="D1196" s="2" t="s">
        <v>46</v>
      </c>
      <c r="E1196" s="2" t="s">
        <v>42</v>
      </c>
      <c r="F1196" s="2" t="s">
        <v>43</v>
      </c>
      <c r="G1196" s="2" t="s">
        <v>154</v>
      </c>
      <c r="H1196">
        <v>1</v>
      </c>
      <c r="I1196">
        <v>1</v>
      </c>
      <c r="J1196">
        <v>174.75</v>
      </c>
      <c r="K1196">
        <v>0.12</v>
      </c>
      <c r="L1196">
        <v>86</v>
      </c>
      <c r="M1196">
        <v>174.75</v>
      </c>
      <c r="N1196">
        <v>153.78</v>
      </c>
      <c r="O1196">
        <v>86</v>
      </c>
      <c r="P1196">
        <v>67.78</v>
      </c>
    </row>
    <row r="1197" spans="1:16" x14ac:dyDescent="0.3">
      <c r="A1197" s="1">
        <v>45901</v>
      </c>
      <c r="B1197" s="2" t="s">
        <v>39</v>
      </c>
      <c r="C1197" s="2" t="s">
        <v>40</v>
      </c>
      <c r="D1197" s="2" t="s">
        <v>46</v>
      </c>
      <c r="E1197" s="2" t="s">
        <v>47</v>
      </c>
      <c r="F1197" s="2" t="s">
        <v>43</v>
      </c>
      <c r="G1197" s="2" t="s">
        <v>207</v>
      </c>
      <c r="H1197">
        <v>1</v>
      </c>
      <c r="I1197">
        <v>4</v>
      </c>
      <c r="J1197">
        <v>872.31</v>
      </c>
      <c r="K1197">
        <v>0.12</v>
      </c>
      <c r="L1197">
        <v>520</v>
      </c>
      <c r="M1197">
        <v>3489.24</v>
      </c>
      <c r="N1197">
        <v>3070.5311999999999</v>
      </c>
      <c r="O1197">
        <v>2080</v>
      </c>
      <c r="P1197">
        <v>990.5311999999999</v>
      </c>
    </row>
    <row r="1198" spans="1:16" x14ac:dyDescent="0.3">
      <c r="A1198" s="1">
        <v>45901</v>
      </c>
      <c r="B1198" s="2" t="s">
        <v>39</v>
      </c>
      <c r="C1198" s="2" t="s">
        <v>92</v>
      </c>
      <c r="D1198" s="2" t="s">
        <v>46</v>
      </c>
      <c r="E1198" s="2" t="s">
        <v>42</v>
      </c>
      <c r="F1198" s="2" t="s">
        <v>52</v>
      </c>
      <c r="G1198" s="2" t="s">
        <v>93</v>
      </c>
      <c r="H1198">
        <v>1</v>
      </c>
      <c r="I1198">
        <v>1</v>
      </c>
      <c r="J1198">
        <v>218.97</v>
      </c>
      <c r="K1198">
        <v>0.1</v>
      </c>
      <c r="L1198">
        <v>1240</v>
      </c>
      <c r="M1198">
        <v>218.97</v>
      </c>
      <c r="N1198">
        <v>197.07300000000001</v>
      </c>
      <c r="O1198">
        <v>1240</v>
      </c>
      <c r="P1198">
        <v>-1042.9269999999999</v>
      </c>
    </row>
    <row r="1199" spans="1:16" x14ac:dyDescent="0.3">
      <c r="A1199" s="1">
        <v>45901</v>
      </c>
      <c r="B1199" s="2" t="s">
        <v>56</v>
      </c>
      <c r="C1199" s="2" t="s">
        <v>57</v>
      </c>
      <c r="D1199" s="2" t="s">
        <v>41</v>
      </c>
      <c r="E1199" s="2" t="s">
        <v>47</v>
      </c>
      <c r="F1199" s="2" t="s">
        <v>48</v>
      </c>
      <c r="G1199" s="2" t="s">
        <v>86</v>
      </c>
      <c r="H1199">
        <v>1</v>
      </c>
      <c r="I1199">
        <v>4</v>
      </c>
      <c r="J1199">
        <v>23.98</v>
      </c>
      <c r="K1199">
        <v>0</v>
      </c>
      <c r="L1199">
        <v>8</v>
      </c>
      <c r="M1199">
        <v>95.92</v>
      </c>
      <c r="N1199">
        <v>95.92</v>
      </c>
      <c r="O1199">
        <v>32</v>
      </c>
      <c r="P1199">
        <v>63.92</v>
      </c>
    </row>
    <row r="1200" spans="1:16" x14ac:dyDescent="0.3">
      <c r="A1200" s="1">
        <v>45901</v>
      </c>
      <c r="B1200" s="2" t="s">
        <v>39</v>
      </c>
      <c r="C1200" s="2" t="s">
        <v>54</v>
      </c>
      <c r="D1200" s="2" t="s">
        <v>41</v>
      </c>
      <c r="E1200" s="2" t="s">
        <v>47</v>
      </c>
      <c r="F1200" s="2" t="s">
        <v>43</v>
      </c>
      <c r="G1200" s="2" t="s">
        <v>55</v>
      </c>
      <c r="H1200">
        <v>1</v>
      </c>
      <c r="I1200">
        <v>2</v>
      </c>
      <c r="J1200">
        <v>184.18</v>
      </c>
      <c r="K1200">
        <v>0</v>
      </c>
      <c r="L1200">
        <v>86</v>
      </c>
      <c r="M1200">
        <v>368.36</v>
      </c>
      <c r="N1200">
        <v>368.36</v>
      </c>
      <c r="O1200">
        <v>172</v>
      </c>
      <c r="P1200">
        <v>196.36</v>
      </c>
    </row>
    <row r="1201" spans="1:16" x14ac:dyDescent="0.3">
      <c r="A1201" s="1">
        <v>45901</v>
      </c>
      <c r="B1201" s="2" t="s">
        <v>39</v>
      </c>
      <c r="C1201" s="2" t="s">
        <v>54</v>
      </c>
      <c r="D1201" s="2" t="s">
        <v>41</v>
      </c>
      <c r="E1201" s="2" t="s">
        <v>47</v>
      </c>
      <c r="F1201" s="2" t="s">
        <v>48</v>
      </c>
      <c r="G1201" s="2" t="s">
        <v>55</v>
      </c>
      <c r="H1201">
        <v>1</v>
      </c>
      <c r="I1201">
        <v>2</v>
      </c>
      <c r="J1201">
        <v>98.15</v>
      </c>
      <c r="K1201">
        <v>0</v>
      </c>
      <c r="L1201">
        <v>39</v>
      </c>
      <c r="M1201">
        <v>196.3</v>
      </c>
      <c r="N1201">
        <v>196.3</v>
      </c>
      <c r="O1201">
        <v>78</v>
      </c>
      <c r="P1201">
        <v>118.30000000000001</v>
      </c>
    </row>
    <row r="1202" spans="1:16" x14ac:dyDescent="0.3">
      <c r="A1202" s="1">
        <v>45901</v>
      </c>
      <c r="B1202" s="2" t="s">
        <v>39</v>
      </c>
      <c r="C1202" s="2" t="s">
        <v>92</v>
      </c>
      <c r="D1202" s="2" t="s">
        <v>50</v>
      </c>
      <c r="E1202" s="2" t="s">
        <v>47</v>
      </c>
      <c r="F1202" s="2" t="s">
        <v>43</v>
      </c>
      <c r="G1202" s="2" t="s">
        <v>109</v>
      </c>
      <c r="H1202">
        <v>3</v>
      </c>
      <c r="I1202">
        <v>7</v>
      </c>
      <c r="J1202">
        <v>538.69666666666672</v>
      </c>
      <c r="K1202">
        <v>9.3333333333333338E-2</v>
      </c>
      <c r="L1202">
        <v>323</v>
      </c>
      <c r="M1202">
        <v>3092.79</v>
      </c>
      <c r="N1202">
        <v>2832.4488000000001</v>
      </c>
      <c r="O1202">
        <v>1867</v>
      </c>
      <c r="P1202">
        <v>965.44880000000023</v>
      </c>
    </row>
    <row r="1203" spans="1:16" x14ac:dyDescent="0.3">
      <c r="A1203" s="1">
        <v>45901</v>
      </c>
      <c r="B1203" s="2" t="s">
        <v>39</v>
      </c>
      <c r="C1203" s="2" t="s">
        <v>45</v>
      </c>
      <c r="D1203" s="2" t="s">
        <v>41</v>
      </c>
      <c r="E1203" s="2" t="s">
        <v>51</v>
      </c>
      <c r="F1203" s="2" t="s">
        <v>43</v>
      </c>
      <c r="G1203" s="2" t="s">
        <v>132</v>
      </c>
      <c r="H1203">
        <v>1</v>
      </c>
      <c r="I1203">
        <v>12</v>
      </c>
      <c r="J1203">
        <v>568.14</v>
      </c>
      <c r="K1203">
        <v>0</v>
      </c>
      <c r="L1203">
        <v>395</v>
      </c>
      <c r="M1203">
        <v>6817.68</v>
      </c>
      <c r="N1203">
        <v>6817.68</v>
      </c>
      <c r="O1203">
        <v>4740</v>
      </c>
      <c r="P1203">
        <v>2077.6800000000003</v>
      </c>
    </row>
    <row r="1204" spans="1:16" x14ac:dyDescent="0.3">
      <c r="A1204" s="1">
        <v>45901</v>
      </c>
      <c r="B1204" s="2" t="s">
        <v>83</v>
      </c>
      <c r="C1204" s="2" t="s">
        <v>84</v>
      </c>
      <c r="D1204" s="2" t="s">
        <v>46</v>
      </c>
      <c r="E1204" s="2" t="s">
        <v>51</v>
      </c>
      <c r="F1204" s="2" t="s">
        <v>43</v>
      </c>
      <c r="G1204" s="2" t="s">
        <v>191</v>
      </c>
      <c r="H1204">
        <v>1</v>
      </c>
      <c r="I1204">
        <v>8</v>
      </c>
      <c r="J1204">
        <v>261.64</v>
      </c>
      <c r="K1204">
        <v>0.05</v>
      </c>
      <c r="L1204">
        <v>182</v>
      </c>
      <c r="M1204">
        <v>2093.12</v>
      </c>
      <c r="N1204">
        <v>1988.4639999999997</v>
      </c>
      <c r="O1204">
        <v>1456</v>
      </c>
      <c r="P1204">
        <v>532.46399999999971</v>
      </c>
    </row>
    <row r="1205" spans="1:16" x14ac:dyDescent="0.3">
      <c r="A1205" s="1">
        <v>45901</v>
      </c>
      <c r="B1205" s="2" t="s">
        <v>83</v>
      </c>
      <c r="C1205" s="2" t="s">
        <v>84</v>
      </c>
      <c r="D1205" s="2" t="s">
        <v>46</v>
      </c>
      <c r="E1205" s="2" t="s">
        <v>51</v>
      </c>
      <c r="F1205" s="2" t="s">
        <v>48</v>
      </c>
      <c r="G1205" s="2" t="s">
        <v>191</v>
      </c>
      <c r="H1205">
        <v>1</v>
      </c>
      <c r="I1205">
        <v>11</v>
      </c>
      <c r="J1205">
        <v>129.19999999999999</v>
      </c>
      <c r="K1205">
        <v>0.12</v>
      </c>
      <c r="L1205">
        <v>63</v>
      </c>
      <c r="M1205">
        <v>1421.1999999999998</v>
      </c>
      <c r="N1205">
        <v>1250.6559999999999</v>
      </c>
      <c r="O1205">
        <v>693</v>
      </c>
      <c r="P1205">
        <v>557.65599999999995</v>
      </c>
    </row>
    <row r="1206" spans="1:16" x14ac:dyDescent="0.3">
      <c r="A1206" s="1">
        <v>45901</v>
      </c>
      <c r="B1206" s="2" t="s">
        <v>56</v>
      </c>
      <c r="C1206" s="2" t="s">
        <v>72</v>
      </c>
      <c r="D1206" s="2" t="s">
        <v>41</v>
      </c>
      <c r="E1206" s="2" t="s">
        <v>47</v>
      </c>
      <c r="F1206" s="2" t="s">
        <v>43</v>
      </c>
      <c r="G1206" s="2" t="s">
        <v>179</v>
      </c>
      <c r="H1206">
        <v>2</v>
      </c>
      <c r="I1206">
        <v>3</v>
      </c>
      <c r="J1206">
        <v>302.84500000000003</v>
      </c>
      <c r="K1206">
        <v>2.5000000000000001E-2</v>
      </c>
      <c r="L1206">
        <v>182</v>
      </c>
      <c r="M1206">
        <v>909.56999999999994</v>
      </c>
      <c r="N1206">
        <v>894.47949999999992</v>
      </c>
      <c r="O1206">
        <v>546</v>
      </c>
      <c r="P1206">
        <v>348.47949999999997</v>
      </c>
    </row>
    <row r="1207" spans="1:16" x14ac:dyDescent="0.3">
      <c r="A1207" s="1">
        <v>45901</v>
      </c>
      <c r="B1207" s="2" t="s">
        <v>39</v>
      </c>
      <c r="C1207" s="2" t="s">
        <v>88</v>
      </c>
      <c r="D1207" s="2" t="s">
        <v>50</v>
      </c>
      <c r="E1207" s="2" t="s">
        <v>51</v>
      </c>
      <c r="F1207" s="2" t="s">
        <v>43</v>
      </c>
      <c r="G1207" s="2" t="s">
        <v>192</v>
      </c>
      <c r="H1207">
        <v>1</v>
      </c>
      <c r="I1207">
        <v>13</v>
      </c>
      <c r="J1207">
        <v>545.58000000000004</v>
      </c>
      <c r="K1207">
        <v>0.05</v>
      </c>
      <c r="L1207">
        <v>395</v>
      </c>
      <c r="M1207">
        <v>7092.5400000000009</v>
      </c>
      <c r="N1207">
        <v>6737.9130000000005</v>
      </c>
      <c r="O1207">
        <v>5135</v>
      </c>
      <c r="P1207">
        <v>1602.9130000000005</v>
      </c>
    </row>
    <row r="1208" spans="1:16" x14ac:dyDescent="0.3">
      <c r="A1208" s="1">
        <v>45901</v>
      </c>
      <c r="B1208" s="2" t="s">
        <v>39</v>
      </c>
      <c r="C1208" s="2" t="s">
        <v>88</v>
      </c>
      <c r="D1208" s="2" t="s">
        <v>50</v>
      </c>
      <c r="E1208" s="2" t="s">
        <v>51</v>
      </c>
      <c r="F1208" s="2" t="s">
        <v>48</v>
      </c>
      <c r="G1208" s="2" t="s">
        <v>192</v>
      </c>
      <c r="H1208">
        <v>1</v>
      </c>
      <c r="I1208">
        <v>13</v>
      </c>
      <c r="J1208">
        <v>21.55</v>
      </c>
      <c r="K1208">
        <v>0.1</v>
      </c>
      <c r="L1208">
        <v>8</v>
      </c>
      <c r="M1208">
        <v>280.15000000000003</v>
      </c>
      <c r="N1208">
        <v>252.13500000000005</v>
      </c>
      <c r="O1208">
        <v>104</v>
      </c>
      <c r="P1208">
        <v>148.13500000000005</v>
      </c>
    </row>
    <row r="1209" spans="1:16" x14ac:dyDescent="0.3">
      <c r="A1209" s="1">
        <v>45901</v>
      </c>
      <c r="B1209" s="2" t="s">
        <v>65</v>
      </c>
      <c r="C1209" s="2" t="s">
        <v>80</v>
      </c>
      <c r="D1209" s="2" t="s">
        <v>50</v>
      </c>
      <c r="E1209" s="2" t="s">
        <v>47</v>
      </c>
      <c r="F1209" s="2" t="s">
        <v>43</v>
      </c>
      <c r="G1209" s="2" t="s">
        <v>233</v>
      </c>
      <c r="H1209">
        <v>2</v>
      </c>
      <c r="I1209">
        <v>7</v>
      </c>
      <c r="J1209">
        <v>523.28500000000008</v>
      </c>
      <c r="K1209">
        <v>0.05</v>
      </c>
      <c r="L1209">
        <v>303</v>
      </c>
      <c r="M1209">
        <v>3324.8300000000004</v>
      </c>
      <c r="N1209">
        <v>3158.5885000000003</v>
      </c>
      <c r="O1209">
        <v>1904</v>
      </c>
      <c r="P1209">
        <v>1254.5885000000003</v>
      </c>
    </row>
    <row r="1210" spans="1:16" x14ac:dyDescent="0.3">
      <c r="A1210" s="1">
        <v>45901</v>
      </c>
      <c r="B1210" s="2" t="s">
        <v>65</v>
      </c>
      <c r="C1210" s="2" t="s">
        <v>80</v>
      </c>
      <c r="D1210" s="2" t="s">
        <v>50</v>
      </c>
      <c r="E1210" s="2" t="s">
        <v>47</v>
      </c>
      <c r="F1210" s="2" t="s">
        <v>52</v>
      </c>
      <c r="G1210" s="2" t="s">
        <v>233</v>
      </c>
      <c r="H1210">
        <v>1</v>
      </c>
      <c r="I1210">
        <v>2</v>
      </c>
      <c r="J1210">
        <v>216.23</v>
      </c>
      <c r="K1210">
        <v>0.05</v>
      </c>
      <c r="L1210">
        <v>124</v>
      </c>
      <c r="M1210">
        <v>432.46</v>
      </c>
      <c r="N1210">
        <v>410.83699999999999</v>
      </c>
      <c r="O1210">
        <v>248</v>
      </c>
      <c r="P1210">
        <v>162.83699999999999</v>
      </c>
    </row>
    <row r="1211" spans="1:16" x14ac:dyDescent="0.3">
      <c r="A1211" s="1">
        <v>45901</v>
      </c>
      <c r="B1211" s="2" t="s">
        <v>56</v>
      </c>
      <c r="C1211" s="2" t="s">
        <v>62</v>
      </c>
      <c r="D1211" s="2" t="s">
        <v>41</v>
      </c>
      <c r="E1211" s="2" t="s">
        <v>42</v>
      </c>
      <c r="F1211" s="2" t="s">
        <v>48</v>
      </c>
      <c r="G1211" s="2" t="s">
        <v>193</v>
      </c>
      <c r="H1211">
        <v>1</v>
      </c>
      <c r="I1211">
        <v>3</v>
      </c>
      <c r="J1211">
        <v>91.85</v>
      </c>
      <c r="K1211">
        <v>0</v>
      </c>
      <c r="L1211">
        <v>39</v>
      </c>
      <c r="M1211">
        <v>275.54999999999995</v>
      </c>
      <c r="N1211">
        <v>275.54999999999995</v>
      </c>
      <c r="O1211">
        <v>117</v>
      </c>
      <c r="P1211">
        <v>158.54999999999995</v>
      </c>
    </row>
    <row r="1212" spans="1:16" x14ac:dyDescent="0.3">
      <c r="A1212" s="1">
        <v>45901</v>
      </c>
      <c r="B1212" s="2" t="s">
        <v>39</v>
      </c>
      <c r="C1212" s="2" t="s">
        <v>78</v>
      </c>
      <c r="D1212" s="2" t="s">
        <v>41</v>
      </c>
      <c r="E1212" s="2" t="s">
        <v>42</v>
      </c>
      <c r="F1212" s="2" t="s">
        <v>43</v>
      </c>
      <c r="G1212" s="2" t="s">
        <v>182</v>
      </c>
      <c r="H1212">
        <v>1</v>
      </c>
      <c r="I1212">
        <v>3</v>
      </c>
      <c r="J1212">
        <v>102.57</v>
      </c>
      <c r="K1212">
        <v>0.05</v>
      </c>
      <c r="L1212">
        <v>54</v>
      </c>
      <c r="M1212">
        <v>307.70999999999998</v>
      </c>
      <c r="N1212">
        <v>292.32449999999994</v>
      </c>
      <c r="O1212">
        <v>162</v>
      </c>
      <c r="P1212">
        <v>130.32449999999994</v>
      </c>
    </row>
    <row r="1213" spans="1:16" x14ac:dyDescent="0.3">
      <c r="A1213" s="1">
        <v>45901</v>
      </c>
      <c r="B1213" s="2" t="s">
        <v>56</v>
      </c>
      <c r="C1213" s="2" t="s">
        <v>72</v>
      </c>
      <c r="D1213" s="2" t="s">
        <v>41</v>
      </c>
      <c r="E1213" s="2" t="s">
        <v>47</v>
      </c>
      <c r="F1213" s="2" t="s">
        <v>48</v>
      </c>
      <c r="G1213" s="2" t="s">
        <v>179</v>
      </c>
      <c r="H1213">
        <v>1</v>
      </c>
      <c r="I1213">
        <v>4</v>
      </c>
      <c r="J1213">
        <v>139.86000000000001</v>
      </c>
      <c r="K1213">
        <v>0.1</v>
      </c>
      <c r="L1213">
        <v>63</v>
      </c>
      <c r="M1213">
        <v>559.44000000000005</v>
      </c>
      <c r="N1213">
        <v>503.49600000000004</v>
      </c>
      <c r="O1213">
        <v>252</v>
      </c>
      <c r="P1213">
        <v>251.49600000000004</v>
      </c>
    </row>
    <row r="1214" spans="1:16" x14ac:dyDescent="0.3">
      <c r="A1214" s="1">
        <v>45901</v>
      </c>
      <c r="B1214" s="2" t="s">
        <v>56</v>
      </c>
      <c r="C1214" s="2" t="s">
        <v>57</v>
      </c>
      <c r="D1214" s="2" t="s">
        <v>50</v>
      </c>
      <c r="E1214" s="2" t="s">
        <v>42</v>
      </c>
      <c r="F1214" s="2" t="s">
        <v>43</v>
      </c>
      <c r="G1214" s="2" t="s">
        <v>121</v>
      </c>
      <c r="H1214">
        <v>1</v>
      </c>
      <c r="I1214">
        <v>3</v>
      </c>
      <c r="J1214">
        <v>1133.69</v>
      </c>
      <c r="K1214">
        <v>0.1</v>
      </c>
      <c r="L1214">
        <v>760</v>
      </c>
      <c r="M1214">
        <v>3401.07</v>
      </c>
      <c r="N1214">
        <v>3060.9630000000002</v>
      </c>
      <c r="O1214">
        <v>2280</v>
      </c>
      <c r="P1214">
        <v>780.96300000000019</v>
      </c>
    </row>
    <row r="1215" spans="1:16" x14ac:dyDescent="0.3">
      <c r="A1215" s="1">
        <v>45901</v>
      </c>
      <c r="B1215" s="2" t="s">
        <v>65</v>
      </c>
      <c r="C1215" s="2" t="s">
        <v>66</v>
      </c>
      <c r="D1215" s="2" t="s">
        <v>41</v>
      </c>
      <c r="E1215" s="2" t="s">
        <v>42</v>
      </c>
      <c r="F1215" s="2" t="s">
        <v>48</v>
      </c>
      <c r="G1215" s="2" t="s">
        <v>68</v>
      </c>
      <c r="H1215">
        <v>1</v>
      </c>
      <c r="I1215">
        <v>4</v>
      </c>
      <c r="J1215">
        <v>24.03</v>
      </c>
      <c r="K1215">
        <v>0</v>
      </c>
      <c r="L1215">
        <v>8</v>
      </c>
      <c r="M1215">
        <v>96.12</v>
      </c>
      <c r="N1215">
        <v>96.12</v>
      </c>
      <c r="O1215">
        <v>32</v>
      </c>
      <c r="P1215">
        <v>64.12</v>
      </c>
    </row>
    <row r="1216" spans="1:16" x14ac:dyDescent="0.3">
      <c r="A1216" s="1">
        <v>45901</v>
      </c>
      <c r="B1216" s="2" t="s">
        <v>65</v>
      </c>
      <c r="C1216" s="2" t="s">
        <v>134</v>
      </c>
      <c r="D1216" s="2" t="s">
        <v>41</v>
      </c>
      <c r="E1216" s="2" t="s">
        <v>47</v>
      </c>
      <c r="F1216" s="2" t="s">
        <v>52</v>
      </c>
      <c r="G1216" s="2" t="s">
        <v>208</v>
      </c>
      <c r="H1216">
        <v>1</v>
      </c>
      <c r="I1216">
        <v>1</v>
      </c>
      <c r="J1216">
        <v>44.27</v>
      </c>
      <c r="K1216">
        <v>0</v>
      </c>
      <c r="L1216">
        <v>18</v>
      </c>
      <c r="M1216">
        <v>44.27</v>
      </c>
      <c r="N1216">
        <v>44.27</v>
      </c>
      <c r="O1216">
        <v>18</v>
      </c>
      <c r="P1216">
        <v>26.270000000000003</v>
      </c>
    </row>
    <row r="1217" spans="1:16" x14ac:dyDescent="0.3">
      <c r="A1217" s="1">
        <v>45901</v>
      </c>
      <c r="B1217" s="2" t="s">
        <v>39</v>
      </c>
      <c r="C1217" s="2" t="s">
        <v>88</v>
      </c>
      <c r="D1217" s="2" t="s">
        <v>46</v>
      </c>
      <c r="E1217" s="2" t="s">
        <v>47</v>
      </c>
      <c r="F1217" s="2" t="s">
        <v>43</v>
      </c>
      <c r="G1217" s="2" t="s">
        <v>105</v>
      </c>
      <c r="H1217">
        <v>1</v>
      </c>
      <c r="I1217">
        <v>3</v>
      </c>
      <c r="J1217">
        <v>843.58</v>
      </c>
      <c r="K1217">
        <v>0.1</v>
      </c>
      <c r="L1217">
        <v>520</v>
      </c>
      <c r="M1217">
        <v>2530.7400000000002</v>
      </c>
      <c r="N1217">
        <v>2277.6660000000002</v>
      </c>
      <c r="O1217">
        <v>1560</v>
      </c>
      <c r="P1217">
        <v>717.66600000000017</v>
      </c>
    </row>
    <row r="1218" spans="1:16" x14ac:dyDescent="0.3">
      <c r="A1218" s="1">
        <v>45901</v>
      </c>
      <c r="B1218" s="2" t="s">
        <v>39</v>
      </c>
      <c r="C1218" s="2" t="s">
        <v>92</v>
      </c>
      <c r="D1218" s="2" t="s">
        <v>50</v>
      </c>
      <c r="E1218" s="2" t="s">
        <v>47</v>
      </c>
      <c r="F1218" s="2" t="s">
        <v>48</v>
      </c>
      <c r="G1218" s="2" t="s">
        <v>98</v>
      </c>
      <c r="H1218">
        <v>1</v>
      </c>
      <c r="I1218">
        <v>4</v>
      </c>
      <c r="J1218">
        <v>24.71</v>
      </c>
      <c r="K1218">
        <v>0.08</v>
      </c>
      <c r="L1218">
        <v>8</v>
      </c>
      <c r="M1218">
        <v>98.84</v>
      </c>
      <c r="N1218">
        <v>90.9328</v>
      </c>
      <c r="O1218">
        <v>32</v>
      </c>
      <c r="P1218">
        <v>58.9328</v>
      </c>
    </row>
    <row r="1219" spans="1:16" x14ac:dyDescent="0.3">
      <c r="A1219" s="1">
        <v>45901</v>
      </c>
      <c r="B1219" s="2" t="s">
        <v>83</v>
      </c>
      <c r="C1219" s="2" t="s">
        <v>84</v>
      </c>
      <c r="D1219" s="2" t="s">
        <v>41</v>
      </c>
      <c r="E1219" s="2" t="s">
        <v>47</v>
      </c>
      <c r="F1219" s="2" t="s">
        <v>48</v>
      </c>
      <c r="G1219" s="2" t="s">
        <v>222</v>
      </c>
      <c r="H1219">
        <v>1</v>
      </c>
      <c r="I1219">
        <v>3</v>
      </c>
      <c r="J1219">
        <v>24.9</v>
      </c>
      <c r="K1219">
        <v>0.05</v>
      </c>
      <c r="L1219">
        <v>8</v>
      </c>
      <c r="M1219">
        <v>74.699999999999989</v>
      </c>
      <c r="N1219">
        <v>70.964999999999989</v>
      </c>
      <c r="O1219">
        <v>24</v>
      </c>
      <c r="P1219">
        <v>46.964999999999989</v>
      </c>
    </row>
    <row r="1220" spans="1:16" x14ac:dyDescent="0.3">
      <c r="A1220" s="1">
        <v>45901</v>
      </c>
      <c r="B1220" s="2" t="s">
        <v>56</v>
      </c>
      <c r="C1220" s="2" t="s">
        <v>57</v>
      </c>
      <c r="D1220" s="2" t="s">
        <v>50</v>
      </c>
      <c r="E1220" s="2" t="s">
        <v>51</v>
      </c>
      <c r="F1220" s="2" t="s">
        <v>48</v>
      </c>
      <c r="G1220" s="2" t="s">
        <v>160</v>
      </c>
      <c r="H1220">
        <v>1</v>
      </c>
      <c r="I1220">
        <v>15</v>
      </c>
      <c r="J1220">
        <v>68.040000000000006</v>
      </c>
      <c r="K1220">
        <v>0.1</v>
      </c>
      <c r="L1220">
        <v>31</v>
      </c>
      <c r="M1220">
        <v>1020.6000000000001</v>
      </c>
      <c r="N1220">
        <v>918.54000000000019</v>
      </c>
      <c r="O1220">
        <v>465</v>
      </c>
      <c r="P1220">
        <v>453.54000000000019</v>
      </c>
    </row>
    <row r="1221" spans="1:16" x14ac:dyDescent="0.3">
      <c r="A1221" s="1">
        <v>45901</v>
      </c>
      <c r="B1221" s="2" t="s">
        <v>39</v>
      </c>
      <c r="C1221" s="2" t="s">
        <v>88</v>
      </c>
      <c r="D1221" s="2" t="s">
        <v>41</v>
      </c>
      <c r="E1221" s="2" t="s">
        <v>51</v>
      </c>
      <c r="F1221" s="2" t="s">
        <v>43</v>
      </c>
      <c r="G1221" s="2" t="s">
        <v>136</v>
      </c>
      <c r="H1221">
        <v>1</v>
      </c>
      <c r="I1221">
        <v>7</v>
      </c>
      <c r="J1221">
        <v>154.77000000000001</v>
      </c>
      <c r="K1221">
        <v>0</v>
      </c>
      <c r="L1221">
        <v>86</v>
      </c>
      <c r="M1221">
        <v>1083.3900000000001</v>
      </c>
      <c r="N1221">
        <v>1083.3900000000001</v>
      </c>
      <c r="O1221">
        <v>602</v>
      </c>
      <c r="P1221">
        <v>481.3900000000001</v>
      </c>
    </row>
    <row r="1222" spans="1:16" x14ac:dyDescent="0.3">
      <c r="A1222" s="1">
        <v>45901</v>
      </c>
      <c r="B1222" s="2" t="s">
        <v>39</v>
      </c>
      <c r="C1222" s="2" t="s">
        <v>88</v>
      </c>
      <c r="D1222" s="2" t="s">
        <v>41</v>
      </c>
      <c r="E1222" s="2" t="s">
        <v>51</v>
      </c>
      <c r="F1222" s="2" t="s">
        <v>48</v>
      </c>
      <c r="G1222" s="2" t="s">
        <v>136</v>
      </c>
      <c r="H1222">
        <v>1</v>
      </c>
      <c r="I1222">
        <v>6</v>
      </c>
      <c r="J1222">
        <v>65.42</v>
      </c>
      <c r="K1222">
        <v>0.1</v>
      </c>
      <c r="L1222">
        <v>31</v>
      </c>
      <c r="M1222">
        <v>392.52</v>
      </c>
      <c r="N1222">
        <v>353.26799999999997</v>
      </c>
      <c r="O1222">
        <v>186</v>
      </c>
      <c r="P1222">
        <v>167.26799999999997</v>
      </c>
    </row>
    <row r="1223" spans="1:16" x14ac:dyDescent="0.3">
      <c r="A1223" s="1">
        <v>45901</v>
      </c>
      <c r="B1223" s="2" t="s">
        <v>39</v>
      </c>
      <c r="C1223" s="2" t="s">
        <v>92</v>
      </c>
      <c r="D1223" s="2" t="s">
        <v>50</v>
      </c>
      <c r="E1223" s="2" t="s">
        <v>47</v>
      </c>
      <c r="F1223" s="2" t="s">
        <v>48</v>
      </c>
      <c r="G1223" s="2" t="s">
        <v>109</v>
      </c>
      <c r="H1223">
        <v>2</v>
      </c>
      <c r="I1223">
        <v>6</v>
      </c>
      <c r="J1223">
        <v>83.550000000000011</v>
      </c>
      <c r="K1223">
        <v>0.05</v>
      </c>
      <c r="L1223">
        <v>35</v>
      </c>
      <c r="M1223">
        <v>482.06000000000006</v>
      </c>
      <c r="N1223">
        <v>457.95699999999999</v>
      </c>
      <c r="O1223">
        <v>202</v>
      </c>
      <c r="P1223">
        <v>255.95700000000002</v>
      </c>
    </row>
    <row r="1224" spans="1:16" x14ac:dyDescent="0.3">
      <c r="A1224" s="1">
        <v>45901</v>
      </c>
      <c r="B1224" s="2" t="s">
        <v>39</v>
      </c>
      <c r="C1224" s="2" t="s">
        <v>54</v>
      </c>
      <c r="D1224" s="2" t="s">
        <v>41</v>
      </c>
      <c r="E1224" s="2" t="s">
        <v>42</v>
      </c>
      <c r="F1224" s="2" t="s">
        <v>43</v>
      </c>
      <c r="G1224" s="2" t="s">
        <v>69</v>
      </c>
      <c r="H1224">
        <v>2</v>
      </c>
      <c r="I1224">
        <v>2</v>
      </c>
      <c r="J1224">
        <v>1161.095</v>
      </c>
      <c r="K1224">
        <v>0.05</v>
      </c>
      <c r="L1224">
        <v>760</v>
      </c>
      <c r="M1224">
        <v>2322.19</v>
      </c>
      <c r="N1224">
        <v>2202.12</v>
      </c>
      <c r="O1224">
        <v>1520</v>
      </c>
      <c r="P1224">
        <v>682.12000000000012</v>
      </c>
    </row>
    <row r="1225" spans="1:16" x14ac:dyDescent="0.3">
      <c r="A1225" s="1">
        <v>45901</v>
      </c>
      <c r="B1225" s="2" t="s">
        <v>39</v>
      </c>
      <c r="C1225" s="2" t="s">
        <v>54</v>
      </c>
      <c r="D1225" s="2" t="s">
        <v>41</v>
      </c>
      <c r="E1225" s="2" t="s">
        <v>42</v>
      </c>
      <c r="F1225" s="2" t="s">
        <v>48</v>
      </c>
      <c r="G1225" s="2" t="s">
        <v>69</v>
      </c>
      <c r="H1225">
        <v>1</v>
      </c>
      <c r="I1225">
        <v>1</v>
      </c>
      <c r="J1225">
        <v>135.66999999999999</v>
      </c>
      <c r="K1225">
        <v>0</v>
      </c>
      <c r="L1225">
        <v>63</v>
      </c>
      <c r="M1225">
        <v>135.66999999999999</v>
      </c>
      <c r="N1225">
        <v>135.66999999999999</v>
      </c>
      <c r="O1225">
        <v>63</v>
      </c>
      <c r="P1225">
        <v>72.669999999999987</v>
      </c>
    </row>
    <row r="1226" spans="1:16" x14ac:dyDescent="0.3">
      <c r="A1226" s="1">
        <v>45901</v>
      </c>
      <c r="B1226" s="2" t="s">
        <v>83</v>
      </c>
      <c r="C1226" s="2" t="s">
        <v>84</v>
      </c>
      <c r="D1226" s="2" t="s">
        <v>41</v>
      </c>
      <c r="E1226" s="2" t="s">
        <v>42</v>
      </c>
      <c r="F1226" s="2" t="s">
        <v>48</v>
      </c>
      <c r="G1226" s="2" t="s">
        <v>160</v>
      </c>
      <c r="H1226">
        <v>1</v>
      </c>
      <c r="I1226">
        <v>1</v>
      </c>
      <c r="J1226">
        <v>94.27</v>
      </c>
      <c r="K1226">
        <v>0</v>
      </c>
      <c r="L1226">
        <v>39</v>
      </c>
      <c r="M1226">
        <v>94.27</v>
      </c>
      <c r="N1226">
        <v>94.27</v>
      </c>
      <c r="O1226">
        <v>39</v>
      </c>
      <c r="P1226">
        <v>55.269999999999996</v>
      </c>
    </row>
    <row r="1227" spans="1:16" x14ac:dyDescent="0.3">
      <c r="A1227" s="1">
        <v>45901</v>
      </c>
      <c r="B1227" s="2" t="s">
        <v>39</v>
      </c>
      <c r="C1227" s="2" t="s">
        <v>92</v>
      </c>
      <c r="D1227" s="2" t="s">
        <v>50</v>
      </c>
      <c r="E1227" s="2" t="s">
        <v>47</v>
      </c>
      <c r="F1227" s="2" t="s">
        <v>43</v>
      </c>
      <c r="G1227" s="2" t="s">
        <v>130</v>
      </c>
      <c r="H1227">
        <v>2</v>
      </c>
      <c r="I1227">
        <v>5</v>
      </c>
      <c r="J1227">
        <v>239.07500000000002</v>
      </c>
      <c r="K1227">
        <v>0.45</v>
      </c>
      <c r="L1227">
        <v>134</v>
      </c>
      <c r="M1227">
        <v>1008.19</v>
      </c>
      <c r="N1227">
        <v>412.66700000000003</v>
      </c>
      <c r="O1227">
        <v>526</v>
      </c>
      <c r="P1227">
        <v>-113.333</v>
      </c>
    </row>
    <row r="1228" spans="1:16" x14ac:dyDescent="0.3">
      <c r="A1228" s="1">
        <v>45901</v>
      </c>
      <c r="B1228" s="2" t="s">
        <v>39</v>
      </c>
      <c r="C1228" s="2" t="s">
        <v>45</v>
      </c>
      <c r="D1228" s="2" t="s">
        <v>41</v>
      </c>
      <c r="E1228" s="2" t="s">
        <v>42</v>
      </c>
      <c r="F1228" s="2" t="s">
        <v>52</v>
      </c>
      <c r="G1228" s="2" t="s">
        <v>201</v>
      </c>
      <c r="H1228">
        <v>1</v>
      </c>
      <c r="I1228">
        <v>1</v>
      </c>
      <c r="J1228">
        <v>218.35</v>
      </c>
      <c r="K1228">
        <v>0</v>
      </c>
      <c r="L1228">
        <v>124</v>
      </c>
      <c r="M1228">
        <v>218.35</v>
      </c>
      <c r="N1228">
        <v>218.35</v>
      </c>
      <c r="O1228">
        <v>124</v>
      </c>
      <c r="P1228">
        <v>94.35</v>
      </c>
    </row>
    <row r="1229" spans="1:16" x14ac:dyDescent="0.3">
      <c r="A1229" s="1">
        <v>45901</v>
      </c>
      <c r="B1229" s="2" t="s">
        <v>39</v>
      </c>
      <c r="C1229" s="2" t="s">
        <v>92</v>
      </c>
      <c r="D1229" s="2" t="s">
        <v>50</v>
      </c>
      <c r="E1229" s="2" t="s">
        <v>42</v>
      </c>
      <c r="F1229" s="2" t="s">
        <v>52</v>
      </c>
      <c r="G1229" s="2" t="s">
        <v>230</v>
      </c>
      <c r="H1229">
        <v>1</v>
      </c>
      <c r="I1229">
        <v>1</v>
      </c>
      <c r="J1229">
        <v>218.65</v>
      </c>
      <c r="K1229">
        <v>0.12</v>
      </c>
      <c r="L1229">
        <v>124</v>
      </c>
      <c r="M1229">
        <v>218.65</v>
      </c>
      <c r="N1229">
        <v>192.41200000000001</v>
      </c>
      <c r="O1229">
        <v>124</v>
      </c>
      <c r="P1229">
        <v>68.412000000000006</v>
      </c>
    </row>
    <row r="1230" spans="1:16" x14ac:dyDescent="0.3">
      <c r="A1230" s="1">
        <v>45901</v>
      </c>
      <c r="B1230" s="2" t="s">
        <v>39</v>
      </c>
      <c r="C1230" s="2" t="s">
        <v>92</v>
      </c>
      <c r="D1230" s="2" t="s">
        <v>50</v>
      </c>
      <c r="E1230" s="2" t="s">
        <v>42</v>
      </c>
      <c r="F1230" s="2" t="s">
        <v>48</v>
      </c>
      <c r="G1230" s="2" t="s">
        <v>230</v>
      </c>
      <c r="H1230">
        <v>2</v>
      </c>
      <c r="I1230">
        <v>3</v>
      </c>
      <c r="J1230">
        <v>105.875</v>
      </c>
      <c r="K1230">
        <v>0.1</v>
      </c>
      <c r="L1230">
        <v>47</v>
      </c>
      <c r="M1230">
        <v>351.35</v>
      </c>
      <c r="N1230">
        <v>312.07400000000001</v>
      </c>
      <c r="O1230">
        <v>157</v>
      </c>
      <c r="P1230">
        <v>155.07400000000001</v>
      </c>
    </row>
    <row r="1231" spans="1:16" x14ac:dyDescent="0.3">
      <c r="A1231" s="1">
        <v>45901</v>
      </c>
      <c r="B1231" s="2" t="s">
        <v>83</v>
      </c>
      <c r="C1231" s="2" t="s">
        <v>84</v>
      </c>
      <c r="D1231" s="2" t="s">
        <v>46</v>
      </c>
      <c r="E1231" s="2" t="s">
        <v>42</v>
      </c>
      <c r="F1231" s="2" t="s">
        <v>43</v>
      </c>
      <c r="G1231" s="2" t="s">
        <v>128</v>
      </c>
      <c r="H1231">
        <v>1</v>
      </c>
      <c r="I1231">
        <v>1</v>
      </c>
      <c r="J1231">
        <v>636.94000000000005</v>
      </c>
      <c r="K1231">
        <v>0.12</v>
      </c>
      <c r="L1231">
        <v>395</v>
      </c>
      <c r="M1231">
        <v>636.94000000000005</v>
      </c>
      <c r="N1231">
        <v>560.50720000000001</v>
      </c>
      <c r="O1231">
        <v>395</v>
      </c>
      <c r="P1231">
        <v>165.50720000000001</v>
      </c>
    </row>
    <row r="1232" spans="1:16" x14ac:dyDescent="0.3">
      <c r="A1232" s="1">
        <v>45901</v>
      </c>
      <c r="B1232" s="2" t="s">
        <v>39</v>
      </c>
      <c r="C1232" s="2" t="s">
        <v>40</v>
      </c>
      <c r="D1232" s="2" t="s">
        <v>41</v>
      </c>
      <c r="E1232" s="2" t="s">
        <v>47</v>
      </c>
      <c r="F1232" s="2" t="s">
        <v>48</v>
      </c>
      <c r="G1232" s="2" t="s">
        <v>113</v>
      </c>
      <c r="H1232">
        <v>1</v>
      </c>
      <c r="I1232">
        <v>5</v>
      </c>
      <c r="J1232">
        <v>23.52</v>
      </c>
      <c r="K1232">
        <v>0</v>
      </c>
      <c r="L1232">
        <v>8</v>
      </c>
      <c r="M1232">
        <v>117.6</v>
      </c>
      <c r="N1232">
        <v>117.6</v>
      </c>
      <c r="O1232">
        <v>40</v>
      </c>
      <c r="P1232">
        <v>77.599999999999994</v>
      </c>
    </row>
    <row r="1233" spans="1:16" x14ac:dyDescent="0.3">
      <c r="A1233" s="1">
        <v>45901</v>
      </c>
      <c r="B1233" s="2" t="s">
        <v>39</v>
      </c>
      <c r="C1233" s="2" t="s">
        <v>40</v>
      </c>
      <c r="D1233" s="2" t="s">
        <v>50</v>
      </c>
      <c r="E1233" s="2" t="s">
        <v>51</v>
      </c>
      <c r="F1233" s="2" t="s">
        <v>52</v>
      </c>
      <c r="G1233" s="2" t="s">
        <v>145</v>
      </c>
      <c r="H1233">
        <v>1</v>
      </c>
      <c r="I1233">
        <v>7</v>
      </c>
      <c r="J1233">
        <v>38.119999999999997</v>
      </c>
      <c r="K1233">
        <v>0.08</v>
      </c>
      <c r="L1233">
        <v>18</v>
      </c>
      <c r="M1233">
        <v>266.83999999999997</v>
      </c>
      <c r="N1233">
        <v>245.49279999999999</v>
      </c>
      <c r="O1233">
        <v>126</v>
      </c>
      <c r="P1233">
        <v>119.49279999999999</v>
      </c>
    </row>
    <row r="1234" spans="1:16" x14ac:dyDescent="0.3">
      <c r="A1234" s="1">
        <v>45901</v>
      </c>
      <c r="B1234" s="2" t="s">
        <v>39</v>
      </c>
      <c r="C1234" s="2" t="s">
        <v>40</v>
      </c>
      <c r="D1234" s="2" t="s">
        <v>50</v>
      </c>
      <c r="E1234" s="2" t="s">
        <v>51</v>
      </c>
      <c r="F1234" s="2" t="s">
        <v>43</v>
      </c>
      <c r="G1234" s="2" t="s">
        <v>145</v>
      </c>
      <c r="H1234">
        <v>1</v>
      </c>
      <c r="I1234">
        <v>12</v>
      </c>
      <c r="J1234">
        <v>1038.5</v>
      </c>
      <c r="K1234">
        <v>0.1</v>
      </c>
      <c r="L1234">
        <v>760</v>
      </c>
      <c r="M1234">
        <v>12462</v>
      </c>
      <c r="N1234">
        <v>11215.800000000001</v>
      </c>
      <c r="O1234">
        <v>9120</v>
      </c>
      <c r="P1234">
        <v>2095.8000000000011</v>
      </c>
    </row>
    <row r="1235" spans="1:16" x14ac:dyDescent="0.3">
      <c r="A1235" s="1">
        <v>45901</v>
      </c>
      <c r="B1235" s="2" t="s">
        <v>83</v>
      </c>
      <c r="C1235" s="2" t="s">
        <v>84</v>
      </c>
      <c r="D1235" s="2" t="s">
        <v>50</v>
      </c>
      <c r="E1235" s="2" t="s">
        <v>42</v>
      </c>
      <c r="F1235" s="2" t="s">
        <v>43</v>
      </c>
      <c r="G1235" s="2" t="s">
        <v>85</v>
      </c>
      <c r="H1235">
        <v>3</v>
      </c>
      <c r="I1235">
        <v>3</v>
      </c>
      <c r="J1235">
        <v>807.00666666666666</v>
      </c>
      <c r="K1235">
        <v>5.6666666666666657E-2</v>
      </c>
      <c r="L1235">
        <v>516.66666666666663</v>
      </c>
      <c r="M1235">
        <v>2421.02</v>
      </c>
      <c r="N1235">
        <v>2314.1725999999999</v>
      </c>
      <c r="O1235">
        <v>1550</v>
      </c>
      <c r="P1235">
        <v>764.1726000000001</v>
      </c>
    </row>
    <row r="1236" spans="1:16" x14ac:dyDescent="0.3">
      <c r="A1236" s="1">
        <v>45901</v>
      </c>
      <c r="B1236" s="2" t="s">
        <v>39</v>
      </c>
      <c r="C1236" s="2" t="s">
        <v>40</v>
      </c>
      <c r="D1236" s="2" t="s">
        <v>41</v>
      </c>
      <c r="E1236" s="2" t="s">
        <v>42</v>
      </c>
      <c r="F1236" s="2" t="s">
        <v>43</v>
      </c>
      <c r="G1236" s="2" t="s">
        <v>180</v>
      </c>
      <c r="H1236">
        <v>1</v>
      </c>
      <c r="I1236">
        <v>2</v>
      </c>
      <c r="J1236">
        <v>284.73</v>
      </c>
      <c r="K1236">
        <v>0</v>
      </c>
      <c r="L1236">
        <v>182</v>
      </c>
      <c r="M1236">
        <v>569.46</v>
      </c>
      <c r="N1236">
        <v>569.46</v>
      </c>
      <c r="O1236">
        <v>364</v>
      </c>
      <c r="P1236">
        <v>205.46000000000004</v>
      </c>
    </row>
    <row r="1237" spans="1:16" x14ac:dyDescent="0.3">
      <c r="A1237" s="1">
        <v>45901</v>
      </c>
      <c r="B1237" s="2" t="s">
        <v>83</v>
      </c>
      <c r="C1237" s="2" t="s">
        <v>84</v>
      </c>
      <c r="D1237" s="2" t="s">
        <v>50</v>
      </c>
      <c r="E1237" s="2" t="s">
        <v>47</v>
      </c>
      <c r="F1237" s="2" t="s">
        <v>48</v>
      </c>
      <c r="G1237" s="2" t="s">
        <v>85</v>
      </c>
      <c r="H1237">
        <v>1</v>
      </c>
      <c r="I1237">
        <v>1</v>
      </c>
      <c r="J1237">
        <v>73.34</v>
      </c>
      <c r="K1237">
        <v>0.1</v>
      </c>
      <c r="L1237">
        <v>31</v>
      </c>
      <c r="M1237">
        <v>73.34</v>
      </c>
      <c r="N1237">
        <v>66.006</v>
      </c>
      <c r="O1237">
        <v>31</v>
      </c>
      <c r="P1237">
        <v>35.006</v>
      </c>
    </row>
    <row r="1238" spans="1:16" x14ac:dyDescent="0.3">
      <c r="A1238" s="1">
        <v>45901</v>
      </c>
      <c r="B1238" s="2" t="s">
        <v>83</v>
      </c>
      <c r="C1238" s="2" t="s">
        <v>84</v>
      </c>
      <c r="D1238" s="2" t="s">
        <v>50</v>
      </c>
      <c r="E1238" s="2" t="s">
        <v>47</v>
      </c>
      <c r="F1238" s="2" t="s">
        <v>43</v>
      </c>
      <c r="G1238" s="2" t="s">
        <v>85</v>
      </c>
      <c r="H1238">
        <v>1</v>
      </c>
      <c r="I1238">
        <v>3</v>
      </c>
      <c r="J1238">
        <v>642.39</v>
      </c>
      <c r="K1238">
        <v>0.05</v>
      </c>
      <c r="L1238">
        <v>395</v>
      </c>
      <c r="M1238">
        <v>1927.17</v>
      </c>
      <c r="N1238">
        <v>1830.8115</v>
      </c>
      <c r="O1238">
        <v>1185</v>
      </c>
      <c r="P1238">
        <v>645.81150000000002</v>
      </c>
    </row>
    <row r="1239" spans="1:16" x14ac:dyDescent="0.3">
      <c r="A1239" s="1">
        <v>45901</v>
      </c>
      <c r="B1239" s="2" t="s">
        <v>39</v>
      </c>
      <c r="C1239" s="2" t="s">
        <v>92</v>
      </c>
      <c r="D1239" s="2" t="s">
        <v>41</v>
      </c>
      <c r="E1239" s="2" t="s">
        <v>51</v>
      </c>
      <c r="F1239" s="2" t="s">
        <v>43</v>
      </c>
      <c r="G1239" s="2" t="s">
        <v>225</v>
      </c>
      <c r="H1239">
        <v>2</v>
      </c>
      <c r="I1239">
        <v>14</v>
      </c>
      <c r="J1239">
        <v>213.48000000000002</v>
      </c>
      <c r="K1239">
        <v>0</v>
      </c>
      <c r="L1239">
        <v>134</v>
      </c>
      <c r="M1239">
        <v>2988.7200000000003</v>
      </c>
      <c r="N1239">
        <v>2988.7200000000003</v>
      </c>
      <c r="O1239">
        <v>1876</v>
      </c>
      <c r="P1239">
        <v>1112.72</v>
      </c>
    </row>
    <row r="1240" spans="1:16" x14ac:dyDescent="0.3">
      <c r="A1240" s="1">
        <v>45901</v>
      </c>
      <c r="B1240" s="2" t="s">
        <v>83</v>
      </c>
      <c r="C1240" s="2" t="s">
        <v>84</v>
      </c>
      <c r="D1240" s="2" t="s">
        <v>41</v>
      </c>
      <c r="E1240" s="2" t="s">
        <v>47</v>
      </c>
      <c r="F1240" s="2" t="s">
        <v>48</v>
      </c>
      <c r="G1240" s="2" t="s">
        <v>160</v>
      </c>
      <c r="H1240">
        <v>1</v>
      </c>
      <c r="I1240">
        <v>5</v>
      </c>
      <c r="J1240">
        <v>75.34</v>
      </c>
      <c r="K1240">
        <v>0.1</v>
      </c>
      <c r="L1240">
        <v>31</v>
      </c>
      <c r="M1240">
        <v>376.70000000000005</v>
      </c>
      <c r="N1240">
        <v>339.03000000000003</v>
      </c>
      <c r="O1240">
        <v>155</v>
      </c>
      <c r="P1240">
        <v>184.03000000000003</v>
      </c>
    </row>
    <row r="1241" spans="1:16" x14ac:dyDescent="0.3">
      <c r="A1241" s="1">
        <v>45901</v>
      </c>
      <c r="B1241" s="2" t="s">
        <v>39</v>
      </c>
      <c r="C1241" s="2" t="s">
        <v>92</v>
      </c>
      <c r="D1241" s="2" t="s">
        <v>50</v>
      </c>
      <c r="E1241" s="2" t="s">
        <v>47</v>
      </c>
      <c r="F1241" s="2" t="s">
        <v>48</v>
      </c>
      <c r="G1241" s="2" t="s">
        <v>130</v>
      </c>
      <c r="H1241">
        <v>1</v>
      </c>
      <c r="I1241">
        <v>2</v>
      </c>
      <c r="J1241">
        <v>94.95</v>
      </c>
      <c r="K1241">
        <v>0.05</v>
      </c>
      <c r="L1241">
        <v>39</v>
      </c>
      <c r="M1241">
        <v>189.9</v>
      </c>
      <c r="N1241">
        <v>180.405</v>
      </c>
      <c r="O1241">
        <v>78</v>
      </c>
      <c r="P1241">
        <v>102.405</v>
      </c>
    </row>
    <row r="1242" spans="1:16" x14ac:dyDescent="0.3">
      <c r="A1242" s="1">
        <v>45901</v>
      </c>
      <c r="B1242" s="2" t="s">
        <v>56</v>
      </c>
      <c r="C1242" s="2" t="s">
        <v>62</v>
      </c>
      <c r="D1242" s="2" t="s">
        <v>41</v>
      </c>
      <c r="E1242" s="2" t="s">
        <v>47</v>
      </c>
      <c r="F1242" s="2" t="s">
        <v>43</v>
      </c>
      <c r="G1242" s="2" t="s">
        <v>193</v>
      </c>
      <c r="H1242">
        <v>2</v>
      </c>
      <c r="I1242">
        <v>7</v>
      </c>
      <c r="J1242">
        <v>465.58000000000004</v>
      </c>
      <c r="K1242">
        <v>0</v>
      </c>
      <c r="L1242">
        <v>288.5</v>
      </c>
      <c r="M1242">
        <v>3424.92</v>
      </c>
      <c r="N1242">
        <v>3424.92</v>
      </c>
      <c r="O1242">
        <v>2126</v>
      </c>
      <c r="P1242">
        <v>1298.9200000000003</v>
      </c>
    </row>
    <row r="1243" spans="1:16" x14ac:dyDescent="0.3">
      <c r="A1243" s="1">
        <v>45901</v>
      </c>
      <c r="B1243" s="2" t="s">
        <v>83</v>
      </c>
      <c r="C1243" s="2" t="s">
        <v>84</v>
      </c>
      <c r="D1243" s="2" t="s">
        <v>41</v>
      </c>
      <c r="E1243" s="2" t="s">
        <v>51</v>
      </c>
      <c r="F1243" s="2" t="s">
        <v>43</v>
      </c>
      <c r="G1243" s="2" t="s">
        <v>202</v>
      </c>
      <c r="H1243">
        <v>1</v>
      </c>
      <c r="I1243">
        <v>3</v>
      </c>
      <c r="J1243">
        <v>265.79000000000002</v>
      </c>
      <c r="K1243">
        <v>0</v>
      </c>
      <c r="L1243">
        <v>182</v>
      </c>
      <c r="M1243">
        <v>797.37000000000012</v>
      </c>
      <c r="N1243">
        <v>797.37000000000012</v>
      </c>
      <c r="O1243">
        <v>546</v>
      </c>
      <c r="P1243">
        <v>251.37000000000012</v>
      </c>
    </row>
    <row r="1244" spans="1:16" x14ac:dyDescent="0.3">
      <c r="A1244" s="1">
        <v>45901</v>
      </c>
      <c r="B1244" s="2" t="s">
        <v>75</v>
      </c>
      <c r="C1244" s="2" t="s">
        <v>76</v>
      </c>
      <c r="D1244" s="2" t="s">
        <v>50</v>
      </c>
      <c r="E1244" s="2" t="s">
        <v>42</v>
      </c>
      <c r="F1244" s="2" t="s">
        <v>52</v>
      </c>
      <c r="G1244" s="2" t="s">
        <v>216</v>
      </c>
      <c r="H1244">
        <v>1</v>
      </c>
      <c r="I1244">
        <v>3</v>
      </c>
      <c r="J1244">
        <v>44.28</v>
      </c>
      <c r="K1244">
        <v>0.05</v>
      </c>
      <c r="L1244">
        <v>18</v>
      </c>
      <c r="M1244">
        <v>132.84</v>
      </c>
      <c r="N1244">
        <v>126.19799999999999</v>
      </c>
      <c r="O1244">
        <v>54</v>
      </c>
      <c r="P1244">
        <v>72.197999999999993</v>
      </c>
    </row>
    <row r="1245" spans="1:16" x14ac:dyDescent="0.3">
      <c r="A1245" s="1">
        <v>45901</v>
      </c>
      <c r="B1245" s="2" t="s">
        <v>39</v>
      </c>
      <c r="C1245" s="2" t="s">
        <v>45</v>
      </c>
      <c r="D1245" s="2" t="s">
        <v>50</v>
      </c>
      <c r="E1245" s="2" t="s">
        <v>47</v>
      </c>
      <c r="F1245" s="2" t="s">
        <v>43</v>
      </c>
      <c r="G1245" s="2" t="s">
        <v>59</v>
      </c>
      <c r="H1245">
        <v>2</v>
      </c>
      <c r="I1245">
        <v>6</v>
      </c>
      <c r="J1245">
        <v>384.10500000000002</v>
      </c>
      <c r="K1245">
        <v>0.1</v>
      </c>
      <c r="L1245">
        <v>224.5</v>
      </c>
      <c r="M1245">
        <v>2304.63</v>
      </c>
      <c r="N1245">
        <v>2045.3735999999999</v>
      </c>
      <c r="O1245">
        <v>1347</v>
      </c>
      <c r="P1245">
        <v>698.37360000000001</v>
      </c>
    </row>
    <row r="1246" spans="1:16" x14ac:dyDescent="0.3">
      <c r="A1246" s="1">
        <v>45901</v>
      </c>
      <c r="B1246" s="2" t="s">
        <v>39</v>
      </c>
      <c r="C1246" s="2" t="s">
        <v>40</v>
      </c>
      <c r="D1246" s="2" t="s">
        <v>41</v>
      </c>
      <c r="E1246" s="2" t="s">
        <v>42</v>
      </c>
      <c r="F1246" s="2" t="s">
        <v>48</v>
      </c>
      <c r="G1246" s="2" t="s">
        <v>215</v>
      </c>
      <c r="H1246">
        <v>1</v>
      </c>
      <c r="I1246">
        <v>3</v>
      </c>
      <c r="J1246">
        <v>75.48</v>
      </c>
      <c r="K1246">
        <v>0</v>
      </c>
      <c r="L1246">
        <v>31</v>
      </c>
      <c r="M1246">
        <v>226.44</v>
      </c>
      <c r="N1246">
        <v>226.44</v>
      </c>
      <c r="O1246">
        <v>93</v>
      </c>
      <c r="P1246">
        <v>133.44</v>
      </c>
    </row>
    <row r="1247" spans="1:16" x14ac:dyDescent="0.3">
      <c r="A1247" s="1">
        <v>45901</v>
      </c>
      <c r="B1247" s="2" t="s">
        <v>39</v>
      </c>
      <c r="C1247" s="2" t="s">
        <v>40</v>
      </c>
      <c r="D1247" s="2" t="s">
        <v>41</v>
      </c>
      <c r="E1247" s="2" t="s">
        <v>47</v>
      </c>
      <c r="F1247" s="2" t="s">
        <v>48</v>
      </c>
      <c r="G1247" s="2" t="s">
        <v>215</v>
      </c>
      <c r="H1247">
        <v>1</v>
      </c>
      <c r="I1247">
        <v>2</v>
      </c>
      <c r="J1247">
        <v>23.75</v>
      </c>
      <c r="K1247">
        <v>0</v>
      </c>
      <c r="L1247">
        <v>8</v>
      </c>
      <c r="M1247">
        <v>47.5</v>
      </c>
      <c r="N1247">
        <v>47.5</v>
      </c>
      <c r="O1247">
        <v>16</v>
      </c>
      <c r="P1247">
        <v>31.5</v>
      </c>
    </row>
    <row r="1248" spans="1:16" x14ac:dyDescent="0.3">
      <c r="A1248" s="1">
        <v>45901</v>
      </c>
      <c r="B1248" s="2" t="s">
        <v>65</v>
      </c>
      <c r="C1248" s="2" t="s">
        <v>134</v>
      </c>
      <c r="D1248" s="2" t="s">
        <v>41</v>
      </c>
      <c r="E1248" s="2" t="s">
        <v>42</v>
      </c>
      <c r="F1248" s="2" t="s">
        <v>52</v>
      </c>
      <c r="G1248" s="2" t="s">
        <v>227</v>
      </c>
      <c r="H1248">
        <v>1</v>
      </c>
      <c r="I1248">
        <v>3</v>
      </c>
      <c r="J1248">
        <v>44.09</v>
      </c>
      <c r="K1248">
        <v>0.05</v>
      </c>
      <c r="L1248">
        <v>18</v>
      </c>
      <c r="M1248">
        <v>132.27000000000001</v>
      </c>
      <c r="N1248">
        <v>125.65650000000001</v>
      </c>
      <c r="O1248">
        <v>54</v>
      </c>
      <c r="P1248">
        <v>71.656500000000008</v>
      </c>
    </row>
    <row r="1249" spans="1:16" x14ac:dyDescent="0.3">
      <c r="A1249" s="1">
        <v>45901</v>
      </c>
      <c r="B1249" s="2" t="s">
        <v>65</v>
      </c>
      <c r="C1249" s="2" t="s">
        <v>134</v>
      </c>
      <c r="D1249" s="2" t="s">
        <v>41</v>
      </c>
      <c r="E1249" s="2" t="s">
        <v>42</v>
      </c>
      <c r="F1249" s="2" t="s">
        <v>43</v>
      </c>
      <c r="G1249" s="2" t="s">
        <v>227</v>
      </c>
      <c r="H1249">
        <v>1</v>
      </c>
      <c r="I1249">
        <v>3</v>
      </c>
      <c r="J1249">
        <v>105.16</v>
      </c>
      <c r="K1249">
        <v>0</v>
      </c>
      <c r="L1249">
        <v>54</v>
      </c>
      <c r="M1249">
        <v>315.48</v>
      </c>
      <c r="N1249">
        <v>315.48</v>
      </c>
      <c r="O1249">
        <v>162</v>
      </c>
      <c r="P1249">
        <v>153.48000000000002</v>
      </c>
    </row>
    <row r="1250" spans="1:16" x14ac:dyDescent="0.3">
      <c r="A1250" s="1">
        <v>45901</v>
      </c>
      <c r="B1250" s="2" t="s">
        <v>39</v>
      </c>
      <c r="C1250" s="2" t="s">
        <v>45</v>
      </c>
      <c r="D1250" s="2" t="s">
        <v>41</v>
      </c>
      <c r="E1250" s="2" t="s">
        <v>47</v>
      </c>
      <c r="F1250" s="2" t="s">
        <v>43</v>
      </c>
      <c r="G1250" s="2" t="s">
        <v>94</v>
      </c>
      <c r="H1250">
        <v>1</v>
      </c>
      <c r="I1250">
        <v>3</v>
      </c>
      <c r="J1250">
        <v>879.27</v>
      </c>
      <c r="K1250">
        <v>0</v>
      </c>
      <c r="L1250">
        <v>520</v>
      </c>
      <c r="M1250">
        <v>2637.81</v>
      </c>
      <c r="N1250">
        <v>2637.81</v>
      </c>
      <c r="O1250">
        <v>1560</v>
      </c>
      <c r="P1250">
        <v>1077.81</v>
      </c>
    </row>
    <row r="1251" spans="1:16" x14ac:dyDescent="0.3">
      <c r="A1251" s="1">
        <v>45901</v>
      </c>
      <c r="B1251" s="2" t="s">
        <v>83</v>
      </c>
      <c r="C1251" s="2" t="s">
        <v>84</v>
      </c>
      <c r="D1251" s="2" t="s">
        <v>50</v>
      </c>
      <c r="E1251" s="2" t="s">
        <v>42</v>
      </c>
      <c r="F1251" s="2" t="s">
        <v>52</v>
      </c>
      <c r="G1251" s="2" t="s">
        <v>91</v>
      </c>
      <c r="H1251">
        <v>1</v>
      </c>
      <c r="I1251">
        <v>3</v>
      </c>
      <c r="J1251">
        <v>215.05</v>
      </c>
      <c r="K1251">
        <v>0.1</v>
      </c>
      <c r="L1251">
        <v>124</v>
      </c>
      <c r="M1251">
        <v>645.15000000000009</v>
      </c>
      <c r="N1251">
        <v>580.6350000000001</v>
      </c>
      <c r="O1251">
        <v>372</v>
      </c>
      <c r="P1251">
        <v>208.6350000000001</v>
      </c>
    </row>
    <row r="1252" spans="1:16" x14ac:dyDescent="0.3">
      <c r="A1252" s="1">
        <v>45870</v>
      </c>
      <c r="B1252" s="2" t="s">
        <v>56</v>
      </c>
      <c r="C1252" s="2" t="s">
        <v>62</v>
      </c>
      <c r="D1252" s="2" t="s">
        <v>41</v>
      </c>
      <c r="E1252" s="2" t="s">
        <v>47</v>
      </c>
      <c r="F1252" s="2" t="s">
        <v>43</v>
      </c>
      <c r="G1252" s="2" t="s">
        <v>142</v>
      </c>
      <c r="H1252">
        <v>1</v>
      </c>
      <c r="I1252">
        <v>1</v>
      </c>
      <c r="J1252">
        <v>634.84</v>
      </c>
      <c r="K1252">
        <v>0</v>
      </c>
      <c r="L1252">
        <v>395</v>
      </c>
      <c r="M1252">
        <v>634.84</v>
      </c>
      <c r="N1252">
        <v>634.84</v>
      </c>
      <c r="O1252">
        <v>395</v>
      </c>
      <c r="P1252">
        <v>239.84000000000003</v>
      </c>
    </row>
    <row r="1253" spans="1:16" x14ac:dyDescent="0.3">
      <c r="A1253" s="1">
        <v>45901</v>
      </c>
      <c r="B1253" s="2" t="s">
        <v>39</v>
      </c>
      <c r="C1253" s="2" t="s">
        <v>92</v>
      </c>
      <c r="D1253" s="2" t="s">
        <v>50</v>
      </c>
      <c r="E1253" s="2" t="s">
        <v>42</v>
      </c>
      <c r="F1253" s="2" t="s">
        <v>43</v>
      </c>
      <c r="G1253" s="2" t="s">
        <v>104</v>
      </c>
      <c r="H1253">
        <v>1</v>
      </c>
      <c r="I1253">
        <v>2</v>
      </c>
      <c r="J1253">
        <v>110.33</v>
      </c>
      <c r="K1253">
        <v>0.08</v>
      </c>
      <c r="L1253">
        <v>54</v>
      </c>
      <c r="M1253">
        <v>220.66</v>
      </c>
      <c r="N1253">
        <v>203.00720000000001</v>
      </c>
      <c r="O1253">
        <v>108</v>
      </c>
      <c r="P1253">
        <v>95.007200000000012</v>
      </c>
    </row>
    <row r="1254" spans="1:16" x14ac:dyDescent="0.3">
      <c r="A1254" s="1">
        <v>45901</v>
      </c>
      <c r="B1254" s="2" t="s">
        <v>39</v>
      </c>
      <c r="C1254" s="2" t="s">
        <v>88</v>
      </c>
      <c r="D1254" s="2" t="s">
        <v>50</v>
      </c>
      <c r="E1254" s="2" t="s">
        <v>47</v>
      </c>
      <c r="F1254" s="2" t="s">
        <v>43</v>
      </c>
      <c r="G1254" s="2" t="s">
        <v>140</v>
      </c>
      <c r="H1254">
        <v>2</v>
      </c>
      <c r="I1254">
        <v>2</v>
      </c>
      <c r="J1254">
        <v>107.49</v>
      </c>
      <c r="K1254">
        <v>0.1</v>
      </c>
      <c r="L1254">
        <v>54</v>
      </c>
      <c r="M1254">
        <v>214.98</v>
      </c>
      <c r="N1254">
        <v>193.482</v>
      </c>
      <c r="O1254">
        <v>108</v>
      </c>
      <c r="P1254">
        <v>85.481999999999999</v>
      </c>
    </row>
    <row r="1255" spans="1:16" x14ac:dyDescent="0.3">
      <c r="A1255" s="1">
        <v>45901</v>
      </c>
      <c r="B1255" s="2" t="s">
        <v>65</v>
      </c>
      <c r="C1255" s="2" t="s">
        <v>66</v>
      </c>
      <c r="D1255" s="2" t="s">
        <v>41</v>
      </c>
      <c r="E1255" s="2" t="s">
        <v>51</v>
      </c>
      <c r="F1255" s="2" t="s">
        <v>43</v>
      </c>
      <c r="G1255" s="2" t="s">
        <v>176</v>
      </c>
      <c r="H1255">
        <v>1</v>
      </c>
      <c r="I1255">
        <v>4</v>
      </c>
      <c r="J1255">
        <v>99.84</v>
      </c>
      <c r="K1255">
        <v>0</v>
      </c>
      <c r="L1255">
        <v>54</v>
      </c>
      <c r="M1255">
        <v>399.36</v>
      </c>
      <c r="N1255">
        <v>399.36</v>
      </c>
      <c r="O1255">
        <v>216</v>
      </c>
      <c r="P1255">
        <v>183.36</v>
      </c>
    </row>
    <row r="1256" spans="1:16" x14ac:dyDescent="0.3">
      <c r="A1256" s="1">
        <v>45901</v>
      </c>
      <c r="B1256" s="2" t="s">
        <v>39</v>
      </c>
      <c r="C1256" s="2" t="s">
        <v>78</v>
      </c>
      <c r="D1256" s="2" t="s">
        <v>41</v>
      </c>
      <c r="E1256" s="2" t="s">
        <v>42</v>
      </c>
      <c r="F1256" s="2" t="s">
        <v>48</v>
      </c>
      <c r="G1256" s="2" t="s">
        <v>182</v>
      </c>
      <c r="H1256">
        <v>1</v>
      </c>
      <c r="I1256">
        <v>2</v>
      </c>
      <c r="J1256">
        <v>74.86</v>
      </c>
      <c r="K1256">
        <v>0</v>
      </c>
      <c r="L1256">
        <v>31</v>
      </c>
      <c r="M1256">
        <v>149.72</v>
      </c>
      <c r="N1256">
        <v>149.72</v>
      </c>
      <c r="O1256">
        <v>62</v>
      </c>
      <c r="P1256">
        <v>87.72</v>
      </c>
    </row>
    <row r="1257" spans="1:16" x14ac:dyDescent="0.3">
      <c r="A1257" s="1">
        <v>45901</v>
      </c>
      <c r="B1257" s="2" t="s">
        <v>39</v>
      </c>
      <c r="C1257" s="2" t="s">
        <v>45</v>
      </c>
      <c r="D1257" s="2" t="s">
        <v>50</v>
      </c>
      <c r="E1257" s="2" t="s">
        <v>51</v>
      </c>
      <c r="F1257" s="2" t="s">
        <v>48</v>
      </c>
      <c r="G1257" s="2" t="s">
        <v>59</v>
      </c>
      <c r="H1257">
        <v>1</v>
      </c>
      <c r="I1257">
        <v>15</v>
      </c>
      <c r="J1257">
        <v>85.06</v>
      </c>
      <c r="K1257">
        <v>0.12</v>
      </c>
      <c r="L1257">
        <v>39</v>
      </c>
      <c r="M1257">
        <v>1275.9000000000001</v>
      </c>
      <c r="N1257">
        <v>1122.7920000000001</v>
      </c>
      <c r="O1257">
        <v>585</v>
      </c>
      <c r="P1257">
        <v>537.79200000000014</v>
      </c>
    </row>
    <row r="1258" spans="1:16" x14ac:dyDescent="0.3">
      <c r="A1258" s="1">
        <v>45901</v>
      </c>
      <c r="B1258" s="2" t="s">
        <v>39</v>
      </c>
      <c r="C1258" s="2" t="s">
        <v>54</v>
      </c>
      <c r="D1258" s="2" t="s">
        <v>41</v>
      </c>
      <c r="E1258" s="2" t="s">
        <v>42</v>
      </c>
      <c r="F1258" s="2" t="s">
        <v>43</v>
      </c>
      <c r="G1258" s="2" t="s">
        <v>138</v>
      </c>
      <c r="H1258">
        <v>1</v>
      </c>
      <c r="I1258">
        <v>1</v>
      </c>
      <c r="J1258">
        <v>618.24</v>
      </c>
      <c r="K1258">
        <v>0</v>
      </c>
      <c r="L1258">
        <v>395</v>
      </c>
      <c r="M1258">
        <v>618.24</v>
      </c>
      <c r="N1258">
        <v>618.24</v>
      </c>
      <c r="O1258">
        <v>395</v>
      </c>
      <c r="P1258">
        <v>223.24</v>
      </c>
    </row>
    <row r="1259" spans="1:16" x14ac:dyDescent="0.3">
      <c r="A1259" s="1">
        <v>45901</v>
      </c>
      <c r="B1259" s="2" t="s">
        <v>39</v>
      </c>
      <c r="C1259" s="2" t="s">
        <v>92</v>
      </c>
      <c r="D1259" s="2" t="s">
        <v>41</v>
      </c>
      <c r="E1259" s="2" t="s">
        <v>42</v>
      </c>
      <c r="F1259" s="2" t="s">
        <v>43</v>
      </c>
      <c r="G1259" s="2" t="s">
        <v>187</v>
      </c>
      <c r="H1259">
        <v>2</v>
      </c>
      <c r="I1259">
        <v>3</v>
      </c>
      <c r="J1259">
        <v>390.25</v>
      </c>
      <c r="K1259">
        <v>0</v>
      </c>
      <c r="L1259">
        <v>240.5</v>
      </c>
      <c r="M1259">
        <v>959.82999999999993</v>
      </c>
      <c r="N1259">
        <v>959.82999999999993</v>
      </c>
      <c r="O1259">
        <v>567</v>
      </c>
      <c r="P1259">
        <v>392.83</v>
      </c>
    </row>
    <row r="1260" spans="1:16" x14ac:dyDescent="0.3">
      <c r="A1260" s="1">
        <v>45901</v>
      </c>
      <c r="B1260" s="2" t="s">
        <v>39</v>
      </c>
      <c r="C1260" s="2" t="s">
        <v>40</v>
      </c>
      <c r="D1260" s="2" t="s">
        <v>41</v>
      </c>
      <c r="E1260" s="2" t="s">
        <v>51</v>
      </c>
      <c r="F1260" s="2" t="s">
        <v>43</v>
      </c>
      <c r="G1260" s="2" t="s">
        <v>137</v>
      </c>
      <c r="H1260">
        <v>1</v>
      </c>
      <c r="I1260">
        <v>4</v>
      </c>
      <c r="J1260">
        <v>755.92</v>
      </c>
      <c r="K1260">
        <v>0</v>
      </c>
      <c r="L1260">
        <v>520</v>
      </c>
      <c r="M1260">
        <v>3023.68</v>
      </c>
      <c r="N1260">
        <v>3023.68</v>
      </c>
      <c r="O1260">
        <v>2080</v>
      </c>
      <c r="P1260">
        <v>943.67999999999984</v>
      </c>
    </row>
    <row r="1261" spans="1:16" x14ac:dyDescent="0.3">
      <c r="A1261" s="1">
        <v>45901</v>
      </c>
      <c r="B1261" s="2" t="s">
        <v>83</v>
      </c>
      <c r="C1261" s="2" t="s">
        <v>84</v>
      </c>
      <c r="D1261" s="2" t="s">
        <v>41</v>
      </c>
      <c r="E1261" s="2" t="s">
        <v>47</v>
      </c>
      <c r="F1261" s="2" t="s">
        <v>43</v>
      </c>
      <c r="G1261" s="2" t="s">
        <v>157</v>
      </c>
      <c r="H1261">
        <v>1</v>
      </c>
      <c r="I1261">
        <v>3</v>
      </c>
      <c r="J1261">
        <v>183.01</v>
      </c>
      <c r="K1261">
        <v>0</v>
      </c>
      <c r="L1261">
        <v>86</v>
      </c>
      <c r="M1261">
        <v>549.03</v>
      </c>
      <c r="N1261">
        <v>549.03</v>
      </c>
      <c r="O1261">
        <v>258</v>
      </c>
      <c r="P1261">
        <v>291.02999999999997</v>
      </c>
    </row>
    <row r="1262" spans="1:16" x14ac:dyDescent="0.3">
      <c r="A1262" s="1">
        <v>45901</v>
      </c>
      <c r="B1262" s="2" t="s">
        <v>39</v>
      </c>
      <c r="C1262" s="2" t="s">
        <v>88</v>
      </c>
      <c r="D1262" s="2" t="s">
        <v>41</v>
      </c>
      <c r="E1262" s="2" t="s">
        <v>51</v>
      </c>
      <c r="F1262" s="2" t="s">
        <v>48</v>
      </c>
      <c r="G1262" s="2" t="s">
        <v>154</v>
      </c>
      <c r="H1262">
        <v>4</v>
      </c>
      <c r="I1262">
        <v>84</v>
      </c>
      <c r="J1262">
        <v>43.879999999999995</v>
      </c>
      <c r="K1262">
        <v>0</v>
      </c>
      <c r="L1262">
        <v>19.5</v>
      </c>
      <c r="M1262">
        <v>3596.5600000000004</v>
      </c>
      <c r="N1262">
        <v>3596.5600000000004</v>
      </c>
      <c r="O1262">
        <v>1592</v>
      </c>
      <c r="P1262">
        <v>2004.5600000000002</v>
      </c>
    </row>
    <row r="1263" spans="1:16" x14ac:dyDescent="0.3">
      <c r="A1263" s="1">
        <v>45901</v>
      </c>
      <c r="B1263" s="2" t="s">
        <v>39</v>
      </c>
      <c r="C1263" s="2" t="s">
        <v>88</v>
      </c>
      <c r="D1263" s="2" t="s">
        <v>41</v>
      </c>
      <c r="E1263" s="2" t="s">
        <v>51</v>
      </c>
      <c r="F1263" s="2" t="s">
        <v>43</v>
      </c>
      <c r="G1263" s="2" t="s">
        <v>154</v>
      </c>
      <c r="H1263">
        <v>1</v>
      </c>
      <c r="I1263">
        <v>9</v>
      </c>
      <c r="J1263">
        <v>749.48</v>
      </c>
      <c r="K1263">
        <v>0</v>
      </c>
      <c r="L1263">
        <v>520</v>
      </c>
      <c r="M1263">
        <v>6745.32</v>
      </c>
      <c r="N1263">
        <v>6745.32</v>
      </c>
      <c r="O1263">
        <v>4680</v>
      </c>
      <c r="P1263">
        <v>2065.3199999999997</v>
      </c>
    </row>
    <row r="1264" spans="1:16" x14ac:dyDescent="0.3">
      <c r="A1264" s="1">
        <v>45901</v>
      </c>
      <c r="B1264" s="2" t="s">
        <v>39</v>
      </c>
      <c r="C1264" s="2" t="s">
        <v>40</v>
      </c>
      <c r="D1264" s="2" t="s">
        <v>50</v>
      </c>
      <c r="E1264" s="2" t="s">
        <v>51</v>
      </c>
      <c r="F1264" s="2" t="s">
        <v>43</v>
      </c>
      <c r="G1264" s="2" t="s">
        <v>115</v>
      </c>
      <c r="H1264">
        <v>1</v>
      </c>
      <c r="I1264">
        <v>3</v>
      </c>
      <c r="J1264">
        <v>555.77</v>
      </c>
      <c r="K1264">
        <v>0.08</v>
      </c>
      <c r="L1264">
        <v>395</v>
      </c>
      <c r="M1264">
        <v>1667.31</v>
      </c>
      <c r="N1264">
        <v>1533.9251999999999</v>
      </c>
      <c r="O1264">
        <v>1185</v>
      </c>
      <c r="P1264">
        <v>348.9251999999999</v>
      </c>
    </row>
    <row r="1265" spans="1:16" x14ac:dyDescent="0.3">
      <c r="A1265" s="1">
        <v>45901</v>
      </c>
      <c r="B1265" s="2" t="s">
        <v>197</v>
      </c>
      <c r="C1265" s="2" t="s">
        <v>45</v>
      </c>
      <c r="D1265" s="2" t="s">
        <v>50</v>
      </c>
      <c r="E1265" s="2" t="s">
        <v>42</v>
      </c>
      <c r="F1265" s="2" t="s">
        <v>43</v>
      </c>
      <c r="G1265" s="2" t="s">
        <v>226</v>
      </c>
      <c r="H1265">
        <v>1</v>
      </c>
      <c r="I1265">
        <v>1</v>
      </c>
      <c r="J1265">
        <v>174.39</v>
      </c>
      <c r="K1265">
        <v>0.1</v>
      </c>
      <c r="L1265">
        <v>86</v>
      </c>
      <c r="M1265">
        <v>174.39</v>
      </c>
      <c r="N1265">
        <v>156.95099999999999</v>
      </c>
      <c r="O1265">
        <v>86</v>
      </c>
      <c r="P1265">
        <v>70.950999999999993</v>
      </c>
    </row>
    <row r="1266" spans="1:16" x14ac:dyDescent="0.3">
      <c r="A1266" s="1">
        <v>45901</v>
      </c>
      <c r="B1266" s="2" t="s">
        <v>39</v>
      </c>
      <c r="C1266" s="2" t="s">
        <v>92</v>
      </c>
      <c r="D1266" s="2" t="s">
        <v>50</v>
      </c>
      <c r="E1266" s="2" t="s">
        <v>42</v>
      </c>
      <c r="F1266" s="2" t="s">
        <v>43</v>
      </c>
      <c r="G1266" s="2" t="s">
        <v>110</v>
      </c>
      <c r="H1266">
        <v>1</v>
      </c>
      <c r="I1266">
        <v>2</v>
      </c>
      <c r="J1266">
        <v>110.86</v>
      </c>
      <c r="K1266">
        <v>0.08</v>
      </c>
      <c r="L1266">
        <v>54</v>
      </c>
      <c r="M1266">
        <v>221.72</v>
      </c>
      <c r="N1266">
        <v>203.98240000000001</v>
      </c>
      <c r="O1266">
        <v>108</v>
      </c>
      <c r="P1266">
        <v>95.982400000000013</v>
      </c>
    </row>
    <row r="1267" spans="1:16" x14ac:dyDescent="0.3">
      <c r="A1267" s="1">
        <v>45901</v>
      </c>
      <c r="B1267" s="2" t="s">
        <v>39</v>
      </c>
      <c r="C1267" s="2" t="s">
        <v>40</v>
      </c>
      <c r="D1267" s="2" t="s">
        <v>50</v>
      </c>
      <c r="E1267" s="2" t="s">
        <v>47</v>
      </c>
      <c r="F1267" s="2" t="s">
        <v>43</v>
      </c>
      <c r="G1267" s="2" t="s">
        <v>115</v>
      </c>
      <c r="H1267">
        <v>1</v>
      </c>
      <c r="I1267">
        <v>2</v>
      </c>
      <c r="J1267">
        <v>108.93</v>
      </c>
      <c r="K1267">
        <v>0.05</v>
      </c>
      <c r="L1267">
        <v>54</v>
      </c>
      <c r="M1267">
        <v>217.86</v>
      </c>
      <c r="N1267">
        <v>206.96700000000001</v>
      </c>
      <c r="O1267">
        <v>108</v>
      </c>
      <c r="P1267">
        <v>98.967000000000013</v>
      </c>
    </row>
    <row r="1268" spans="1:16" x14ac:dyDescent="0.3">
      <c r="A1268" s="1">
        <v>45901</v>
      </c>
      <c r="B1268" s="2" t="s">
        <v>39</v>
      </c>
      <c r="C1268" s="2" t="s">
        <v>40</v>
      </c>
      <c r="D1268" s="2" t="s">
        <v>50</v>
      </c>
      <c r="E1268" s="2" t="s">
        <v>47</v>
      </c>
      <c r="F1268" s="2" t="s">
        <v>52</v>
      </c>
      <c r="G1268" s="2" t="s">
        <v>115</v>
      </c>
      <c r="H1268">
        <v>1</v>
      </c>
      <c r="I1268">
        <v>4</v>
      </c>
      <c r="J1268">
        <v>217.21</v>
      </c>
      <c r="K1268">
        <v>0.1</v>
      </c>
      <c r="L1268">
        <v>124</v>
      </c>
      <c r="M1268">
        <v>868.84</v>
      </c>
      <c r="N1268">
        <v>781.95600000000002</v>
      </c>
      <c r="O1268">
        <v>496</v>
      </c>
      <c r="P1268">
        <v>285.95600000000002</v>
      </c>
    </row>
    <row r="1269" spans="1:16" x14ac:dyDescent="0.3">
      <c r="A1269" s="1">
        <v>45901</v>
      </c>
      <c r="B1269" s="2" t="s">
        <v>39</v>
      </c>
      <c r="C1269" s="2" t="s">
        <v>45</v>
      </c>
      <c r="D1269" s="2" t="s">
        <v>46</v>
      </c>
      <c r="E1269" s="2" t="s">
        <v>42</v>
      </c>
      <c r="F1269" s="2" t="s">
        <v>43</v>
      </c>
      <c r="G1269" s="2" t="s">
        <v>49</v>
      </c>
      <c r="H1269">
        <v>1</v>
      </c>
      <c r="I1269">
        <v>2</v>
      </c>
      <c r="J1269">
        <v>296.95</v>
      </c>
      <c r="K1269">
        <v>0.1</v>
      </c>
      <c r="L1269">
        <v>182</v>
      </c>
      <c r="M1269">
        <v>593.9</v>
      </c>
      <c r="N1269">
        <v>534.51</v>
      </c>
      <c r="O1269">
        <v>364</v>
      </c>
      <c r="P1269">
        <v>170.51</v>
      </c>
    </row>
    <row r="1270" spans="1:16" x14ac:dyDescent="0.3">
      <c r="A1270" s="1">
        <v>45901</v>
      </c>
      <c r="B1270" s="2" t="s">
        <v>39</v>
      </c>
      <c r="C1270" s="2" t="s">
        <v>45</v>
      </c>
      <c r="D1270" s="2" t="s">
        <v>46</v>
      </c>
      <c r="E1270" s="2" t="s">
        <v>42</v>
      </c>
      <c r="F1270" s="2" t="s">
        <v>52</v>
      </c>
      <c r="G1270" s="2" t="s">
        <v>49</v>
      </c>
      <c r="H1270">
        <v>1</v>
      </c>
      <c r="I1270">
        <v>3</v>
      </c>
      <c r="J1270">
        <v>216.64</v>
      </c>
      <c r="K1270">
        <v>0.1</v>
      </c>
      <c r="L1270">
        <v>124</v>
      </c>
      <c r="M1270">
        <v>649.91999999999996</v>
      </c>
      <c r="N1270">
        <v>584.928</v>
      </c>
      <c r="O1270">
        <v>372</v>
      </c>
      <c r="P1270">
        <v>212.928</v>
      </c>
    </row>
    <row r="1271" spans="1:16" x14ac:dyDescent="0.3">
      <c r="A1271" s="1">
        <v>45901</v>
      </c>
      <c r="B1271" s="2" t="s">
        <v>56</v>
      </c>
      <c r="C1271" s="2" t="s">
        <v>57</v>
      </c>
      <c r="D1271" s="2" t="s">
        <v>46</v>
      </c>
      <c r="E1271" s="2" t="s">
        <v>51</v>
      </c>
      <c r="F1271" s="2" t="s">
        <v>43</v>
      </c>
      <c r="G1271" s="2" t="s">
        <v>58</v>
      </c>
      <c r="H1271">
        <v>1</v>
      </c>
      <c r="I1271">
        <v>10</v>
      </c>
      <c r="J1271">
        <v>272.91000000000003</v>
      </c>
      <c r="K1271">
        <v>0.08</v>
      </c>
      <c r="L1271">
        <v>182</v>
      </c>
      <c r="M1271">
        <v>2729.1000000000004</v>
      </c>
      <c r="N1271">
        <v>2510.7720000000004</v>
      </c>
      <c r="O1271">
        <v>1820</v>
      </c>
      <c r="P1271">
        <v>690.77200000000039</v>
      </c>
    </row>
    <row r="1272" spans="1:16" x14ac:dyDescent="0.3">
      <c r="A1272" s="1">
        <v>45901</v>
      </c>
      <c r="B1272" s="2" t="s">
        <v>65</v>
      </c>
      <c r="C1272" s="2" t="s">
        <v>134</v>
      </c>
      <c r="D1272" s="2" t="s">
        <v>41</v>
      </c>
      <c r="E1272" s="2" t="s">
        <v>51</v>
      </c>
      <c r="F1272" s="2" t="s">
        <v>43</v>
      </c>
      <c r="G1272" s="2" t="s">
        <v>135</v>
      </c>
      <c r="H1272">
        <v>2</v>
      </c>
      <c r="I1272">
        <v>14</v>
      </c>
      <c r="J1272">
        <v>95.22999999999999</v>
      </c>
      <c r="K1272">
        <v>0</v>
      </c>
      <c r="L1272">
        <v>54</v>
      </c>
      <c r="M1272">
        <v>1331.42</v>
      </c>
      <c r="N1272">
        <v>1331.42</v>
      </c>
      <c r="O1272">
        <v>756</v>
      </c>
      <c r="P1272">
        <v>575.41999999999996</v>
      </c>
    </row>
    <row r="1273" spans="1:16" x14ac:dyDescent="0.3">
      <c r="A1273" s="1">
        <v>45901</v>
      </c>
      <c r="B1273" s="2" t="s">
        <v>39</v>
      </c>
      <c r="C1273" s="2" t="s">
        <v>54</v>
      </c>
      <c r="D1273" s="2" t="s">
        <v>41</v>
      </c>
      <c r="E1273" s="2" t="s">
        <v>47</v>
      </c>
      <c r="F1273" s="2" t="s">
        <v>52</v>
      </c>
      <c r="G1273" s="2" t="s">
        <v>55</v>
      </c>
      <c r="H1273">
        <v>2</v>
      </c>
      <c r="I1273">
        <v>6</v>
      </c>
      <c r="J1273">
        <v>211.4</v>
      </c>
      <c r="K1273">
        <v>0</v>
      </c>
      <c r="L1273">
        <v>124</v>
      </c>
      <c r="M1273">
        <v>1268.4000000000001</v>
      </c>
      <c r="N1273">
        <v>1268.4000000000001</v>
      </c>
      <c r="O1273">
        <v>744</v>
      </c>
      <c r="P1273">
        <v>524.40000000000009</v>
      </c>
    </row>
    <row r="1274" spans="1:16" x14ac:dyDescent="0.3">
      <c r="A1274" s="1">
        <v>45901</v>
      </c>
      <c r="B1274" s="2" t="s">
        <v>39</v>
      </c>
      <c r="C1274" s="2" t="s">
        <v>88</v>
      </c>
      <c r="D1274" s="2" t="s">
        <v>50</v>
      </c>
      <c r="E1274" s="2" t="s">
        <v>47</v>
      </c>
      <c r="F1274" s="2" t="s">
        <v>52</v>
      </c>
      <c r="G1274" s="2" t="s">
        <v>140</v>
      </c>
      <c r="H1274">
        <v>1</v>
      </c>
      <c r="I1274">
        <v>3</v>
      </c>
      <c r="J1274">
        <v>219.83</v>
      </c>
      <c r="K1274">
        <v>0.1</v>
      </c>
      <c r="L1274">
        <v>124</v>
      </c>
      <c r="M1274">
        <v>659.49</v>
      </c>
      <c r="N1274">
        <v>593.54100000000005</v>
      </c>
      <c r="O1274">
        <v>372</v>
      </c>
      <c r="P1274">
        <v>221.54100000000005</v>
      </c>
    </row>
    <row r="1275" spans="1:16" x14ac:dyDescent="0.3">
      <c r="A1275" s="1">
        <v>45901</v>
      </c>
      <c r="B1275" s="2" t="s">
        <v>39</v>
      </c>
      <c r="C1275" s="2" t="s">
        <v>92</v>
      </c>
      <c r="D1275" s="2" t="s">
        <v>46</v>
      </c>
      <c r="E1275" s="2" t="s">
        <v>42</v>
      </c>
      <c r="F1275" s="2" t="s">
        <v>43</v>
      </c>
      <c r="G1275" s="2" t="s">
        <v>169</v>
      </c>
      <c r="H1275">
        <v>2</v>
      </c>
      <c r="I1275">
        <v>5</v>
      </c>
      <c r="J1275">
        <v>610.22500000000002</v>
      </c>
      <c r="K1275">
        <v>0.11499999999999999</v>
      </c>
      <c r="L1275">
        <v>395</v>
      </c>
      <c r="M1275">
        <v>3043.76</v>
      </c>
      <c r="N1275">
        <v>2713.7966000000001</v>
      </c>
      <c r="O1275">
        <v>1975</v>
      </c>
      <c r="P1275">
        <v>738.79660000000013</v>
      </c>
    </row>
    <row r="1276" spans="1:16" x14ac:dyDescent="0.3">
      <c r="A1276" s="1">
        <v>45901</v>
      </c>
      <c r="B1276" s="2" t="s">
        <v>39</v>
      </c>
      <c r="C1276" s="2" t="s">
        <v>92</v>
      </c>
      <c r="D1276" s="2" t="s">
        <v>46</v>
      </c>
      <c r="E1276" s="2" t="s">
        <v>42</v>
      </c>
      <c r="F1276" s="2" t="s">
        <v>48</v>
      </c>
      <c r="G1276" s="2" t="s">
        <v>169</v>
      </c>
      <c r="H1276">
        <v>1</v>
      </c>
      <c r="I1276">
        <v>2</v>
      </c>
      <c r="J1276">
        <v>93.04</v>
      </c>
      <c r="K1276">
        <v>0.05</v>
      </c>
      <c r="L1276">
        <v>39</v>
      </c>
      <c r="M1276">
        <v>186.08</v>
      </c>
      <c r="N1276">
        <v>176.77600000000001</v>
      </c>
      <c r="O1276">
        <v>78</v>
      </c>
      <c r="P1276">
        <v>98.77600000000001</v>
      </c>
    </row>
    <row r="1277" spans="1:16" x14ac:dyDescent="0.3">
      <c r="A1277" s="1">
        <v>45901</v>
      </c>
      <c r="B1277" s="2" t="s">
        <v>39</v>
      </c>
      <c r="C1277" s="2" t="s">
        <v>92</v>
      </c>
      <c r="D1277" s="2" t="s">
        <v>46</v>
      </c>
      <c r="E1277" s="2" t="s">
        <v>51</v>
      </c>
      <c r="F1277" s="2" t="s">
        <v>52</v>
      </c>
      <c r="G1277" s="2" t="s">
        <v>154</v>
      </c>
      <c r="H1277">
        <v>1</v>
      </c>
      <c r="I1277">
        <v>13</v>
      </c>
      <c r="J1277">
        <v>39.549999999999997</v>
      </c>
      <c r="K1277">
        <v>0.1</v>
      </c>
      <c r="L1277">
        <v>18</v>
      </c>
      <c r="M1277">
        <v>514.15</v>
      </c>
      <c r="N1277">
        <v>462.73500000000001</v>
      </c>
      <c r="O1277">
        <v>234</v>
      </c>
      <c r="P1277">
        <v>228.73500000000001</v>
      </c>
    </row>
    <row r="1278" spans="1:16" x14ac:dyDescent="0.3">
      <c r="A1278" s="1">
        <v>45901</v>
      </c>
      <c r="B1278" s="2" t="s">
        <v>39</v>
      </c>
      <c r="C1278" s="2" t="s">
        <v>40</v>
      </c>
      <c r="D1278" s="2" t="s">
        <v>41</v>
      </c>
      <c r="E1278" s="2" t="s">
        <v>47</v>
      </c>
      <c r="F1278" s="2" t="s">
        <v>52</v>
      </c>
      <c r="G1278" s="2" t="s">
        <v>200</v>
      </c>
      <c r="H1278">
        <v>1</v>
      </c>
      <c r="I1278">
        <v>2</v>
      </c>
      <c r="J1278">
        <v>222.26</v>
      </c>
      <c r="K1278">
        <v>0</v>
      </c>
      <c r="L1278">
        <v>124</v>
      </c>
      <c r="M1278">
        <v>444.52</v>
      </c>
      <c r="N1278">
        <v>444.52</v>
      </c>
      <c r="O1278">
        <v>248</v>
      </c>
      <c r="P1278">
        <v>196.51999999999998</v>
      </c>
    </row>
    <row r="1279" spans="1:16" x14ac:dyDescent="0.3">
      <c r="A1279" s="1">
        <v>45901</v>
      </c>
      <c r="B1279" s="2" t="s">
        <v>56</v>
      </c>
      <c r="C1279" s="2" t="s">
        <v>57</v>
      </c>
      <c r="D1279" s="2" t="s">
        <v>46</v>
      </c>
      <c r="E1279" s="2" t="s">
        <v>47</v>
      </c>
      <c r="F1279" s="2" t="s">
        <v>43</v>
      </c>
      <c r="G1279" s="2" t="s">
        <v>219</v>
      </c>
      <c r="H1279">
        <v>1</v>
      </c>
      <c r="I1279">
        <v>4</v>
      </c>
      <c r="J1279">
        <v>839</v>
      </c>
      <c r="K1279">
        <v>0.1</v>
      </c>
      <c r="L1279">
        <v>520</v>
      </c>
      <c r="M1279">
        <v>3356</v>
      </c>
      <c r="N1279">
        <v>3020.4</v>
      </c>
      <c r="O1279">
        <v>2080</v>
      </c>
      <c r="P1279">
        <v>940.40000000000009</v>
      </c>
    </row>
    <row r="1280" spans="1:16" x14ac:dyDescent="0.3">
      <c r="A1280" s="1">
        <v>45901</v>
      </c>
      <c r="B1280" s="2" t="s">
        <v>39</v>
      </c>
      <c r="C1280" s="2" t="s">
        <v>40</v>
      </c>
      <c r="D1280" s="2" t="s">
        <v>46</v>
      </c>
      <c r="E1280" s="2" t="s">
        <v>47</v>
      </c>
      <c r="F1280" s="2" t="s">
        <v>48</v>
      </c>
      <c r="G1280" s="2" t="s">
        <v>118</v>
      </c>
      <c r="H1280">
        <v>3</v>
      </c>
      <c r="I1280">
        <v>12</v>
      </c>
      <c r="J1280">
        <v>64.703333333333347</v>
      </c>
      <c r="K1280">
        <v>0.11666666666666667</v>
      </c>
      <c r="L1280">
        <v>26</v>
      </c>
      <c r="M1280">
        <v>633.78</v>
      </c>
      <c r="N1280">
        <v>561.01179999999999</v>
      </c>
      <c r="O1280">
        <v>250</v>
      </c>
      <c r="P1280">
        <v>311.01180000000005</v>
      </c>
    </row>
    <row r="1281" spans="1:16" x14ac:dyDescent="0.3">
      <c r="A1281" s="1">
        <v>45901</v>
      </c>
      <c r="B1281" s="2" t="s">
        <v>65</v>
      </c>
      <c r="C1281" s="2" t="s">
        <v>66</v>
      </c>
      <c r="D1281" s="2" t="s">
        <v>41</v>
      </c>
      <c r="E1281" s="2" t="s">
        <v>42</v>
      </c>
      <c r="F1281" s="2" t="s">
        <v>43</v>
      </c>
      <c r="G1281" s="2" t="s">
        <v>176</v>
      </c>
      <c r="H1281">
        <v>1</v>
      </c>
      <c r="I1281">
        <v>3</v>
      </c>
      <c r="J1281">
        <v>180.37</v>
      </c>
      <c r="K1281">
        <v>0</v>
      </c>
      <c r="L1281">
        <v>86</v>
      </c>
      <c r="M1281">
        <v>541.11</v>
      </c>
      <c r="N1281">
        <v>541.11</v>
      </c>
      <c r="O1281">
        <v>258</v>
      </c>
      <c r="P1281">
        <v>283.11</v>
      </c>
    </row>
    <row r="1282" spans="1:16" x14ac:dyDescent="0.3">
      <c r="A1282" s="1">
        <v>45992</v>
      </c>
      <c r="B1282" s="2" t="s">
        <v>39</v>
      </c>
      <c r="C1282" s="2" t="s">
        <v>78</v>
      </c>
      <c r="D1282" s="2" t="s">
        <v>41</v>
      </c>
      <c r="E1282" s="2" t="s">
        <v>47</v>
      </c>
      <c r="F1282" s="2" t="s">
        <v>52</v>
      </c>
      <c r="G1282" s="2" t="s">
        <v>58</v>
      </c>
      <c r="H1282">
        <v>3</v>
      </c>
      <c r="I1282">
        <v>6</v>
      </c>
      <c r="J1282">
        <v>215.94</v>
      </c>
      <c r="K1282">
        <v>0</v>
      </c>
      <c r="L1282">
        <v>124</v>
      </c>
      <c r="M1282">
        <v>1299.31</v>
      </c>
      <c r="N1282">
        <v>1299.31</v>
      </c>
      <c r="O1282">
        <v>744</v>
      </c>
      <c r="P1282">
        <v>555.30999999999995</v>
      </c>
    </row>
    <row r="1283" spans="1:16" x14ac:dyDescent="0.3">
      <c r="A1283" s="1">
        <v>45901</v>
      </c>
      <c r="B1283" s="2" t="s">
        <v>39</v>
      </c>
      <c r="C1283" s="2" t="s">
        <v>88</v>
      </c>
      <c r="D1283" s="2" t="s">
        <v>46</v>
      </c>
      <c r="E1283" s="2" t="s">
        <v>51</v>
      </c>
      <c r="F1283" s="2" t="s">
        <v>52</v>
      </c>
      <c r="G1283" s="2" t="s">
        <v>105</v>
      </c>
      <c r="H1283">
        <v>1</v>
      </c>
      <c r="I1283">
        <v>9</v>
      </c>
      <c r="J1283">
        <v>198.12</v>
      </c>
      <c r="K1283">
        <v>0.08</v>
      </c>
      <c r="L1283">
        <v>124</v>
      </c>
      <c r="M1283">
        <v>1783.08</v>
      </c>
      <c r="N1283">
        <v>1640.4336000000001</v>
      </c>
      <c r="O1283">
        <v>1116</v>
      </c>
      <c r="P1283">
        <v>524.43360000000007</v>
      </c>
    </row>
    <row r="1284" spans="1:16" x14ac:dyDescent="0.3">
      <c r="A1284" s="1">
        <v>45901</v>
      </c>
      <c r="B1284" s="2" t="s">
        <v>39</v>
      </c>
      <c r="C1284" s="2" t="s">
        <v>152</v>
      </c>
      <c r="D1284" s="2" t="s">
        <v>41</v>
      </c>
      <c r="E1284" s="2" t="s">
        <v>42</v>
      </c>
      <c r="F1284" s="2" t="s">
        <v>43</v>
      </c>
      <c r="G1284" s="2" t="s">
        <v>153</v>
      </c>
      <c r="H1284">
        <v>1</v>
      </c>
      <c r="I1284">
        <v>1</v>
      </c>
      <c r="J1284">
        <v>608.52</v>
      </c>
      <c r="K1284">
        <v>0</v>
      </c>
      <c r="L1284">
        <v>395</v>
      </c>
      <c r="M1284">
        <v>608.52</v>
      </c>
      <c r="N1284">
        <v>608.52</v>
      </c>
      <c r="O1284">
        <v>395</v>
      </c>
      <c r="P1284">
        <v>213.51999999999998</v>
      </c>
    </row>
    <row r="1285" spans="1:16" x14ac:dyDescent="0.3">
      <c r="A1285" s="1">
        <v>45901</v>
      </c>
      <c r="B1285" s="2" t="s">
        <v>39</v>
      </c>
      <c r="C1285" s="2" t="s">
        <v>92</v>
      </c>
      <c r="D1285" s="2" t="s">
        <v>46</v>
      </c>
      <c r="E1285" s="2" t="s">
        <v>47</v>
      </c>
      <c r="F1285" s="2" t="s">
        <v>52</v>
      </c>
      <c r="G1285" s="2" t="s">
        <v>166</v>
      </c>
      <c r="H1285">
        <v>1</v>
      </c>
      <c r="I1285">
        <v>4</v>
      </c>
      <c r="J1285">
        <v>44.45</v>
      </c>
      <c r="K1285">
        <v>0.1</v>
      </c>
      <c r="L1285">
        <v>18</v>
      </c>
      <c r="M1285">
        <v>177.8</v>
      </c>
      <c r="N1285">
        <v>160.02000000000001</v>
      </c>
      <c r="O1285">
        <v>72</v>
      </c>
      <c r="P1285">
        <v>88.02000000000001</v>
      </c>
    </row>
    <row r="1286" spans="1:16" x14ac:dyDescent="0.3">
      <c r="A1286" s="1">
        <v>45901</v>
      </c>
      <c r="B1286" s="2" t="s">
        <v>39</v>
      </c>
      <c r="C1286" s="2" t="s">
        <v>92</v>
      </c>
      <c r="D1286" s="2" t="s">
        <v>46</v>
      </c>
      <c r="E1286" s="2" t="s">
        <v>47</v>
      </c>
      <c r="F1286" s="2" t="s">
        <v>43</v>
      </c>
      <c r="G1286" s="2" t="s">
        <v>166</v>
      </c>
      <c r="H1286">
        <v>2</v>
      </c>
      <c r="I1286">
        <v>5</v>
      </c>
      <c r="J1286">
        <v>142.17500000000001</v>
      </c>
      <c r="K1286">
        <v>0.125</v>
      </c>
      <c r="L1286">
        <v>70</v>
      </c>
      <c r="M1286">
        <v>609.54999999999995</v>
      </c>
      <c r="N1286">
        <v>526.91499999999996</v>
      </c>
      <c r="O1286">
        <v>302</v>
      </c>
      <c r="P1286">
        <v>224.91499999999999</v>
      </c>
    </row>
    <row r="1287" spans="1:16" x14ac:dyDescent="0.3">
      <c r="A1287" s="1">
        <v>45901</v>
      </c>
      <c r="B1287" s="2" t="s">
        <v>39</v>
      </c>
      <c r="C1287" s="2" t="s">
        <v>45</v>
      </c>
      <c r="D1287" s="2" t="s">
        <v>46</v>
      </c>
      <c r="E1287" s="2" t="s">
        <v>47</v>
      </c>
      <c r="F1287" s="2" t="s">
        <v>43</v>
      </c>
      <c r="G1287" s="2" t="s">
        <v>188</v>
      </c>
      <c r="H1287">
        <v>1</v>
      </c>
      <c r="I1287">
        <v>4</v>
      </c>
      <c r="J1287">
        <v>1197.67</v>
      </c>
      <c r="K1287">
        <v>0.15</v>
      </c>
      <c r="L1287">
        <v>760</v>
      </c>
      <c r="M1287">
        <v>4790.68</v>
      </c>
      <c r="N1287">
        <v>4072.078</v>
      </c>
      <c r="O1287">
        <v>3040</v>
      </c>
      <c r="P1287">
        <v>1032.078</v>
      </c>
    </row>
    <row r="1288" spans="1:16" x14ac:dyDescent="0.3">
      <c r="A1288" s="1">
        <v>45901</v>
      </c>
      <c r="B1288" s="2" t="s">
        <v>39</v>
      </c>
      <c r="C1288" s="2" t="s">
        <v>152</v>
      </c>
      <c r="D1288" s="2" t="s">
        <v>41</v>
      </c>
      <c r="E1288" s="2" t="s">
        <v>47</v>
      </c>
      <c r="F1288" s="2" t="s">
        <v>43</v>
      </c>
      <c r="G1288" s="2" t="s">
        <v>153</v>
      </c>
      <c r="H1288">
        <v>1</v>
      </c>
      <c r="I1288">
        <v>3</v>
      </c>
      <c r="J1288">
        <v>177.98</v>
      </c>
      <c r="K1288">
        <v>0.05</v>
      </c>
      <c r="L1288">
        <v>86</v>
      </c>
      <c r="M1288">
        <v>533.93999999999994</v>
      </c>
      <c r="N1288">
        <v>507.24299999999994</v>
      </c>
      <c r="O1288">
        <v>258</v>
      </c>
      <c r="P1288">
        <v>249.24299999999994</v>
      </c>
    </row>
    <row r="1289" spans="1:16" x14ac:dyDescent="0.3">
      <c r="A1289" s="1">
        <v>45901</v>
      </c>
      <c r="B1289" s="2" t="s">
        <v>39</v>
      </c>
      <c r="C1289" s="2" t="s">
        <v>40</v>
      </c>
      <c r="D1289" s="2" t="s">
        <v>50</v>
      </c>
      <c r="E1289" s="2" t="s">
        <v>51</v>
      </c>
      <c r="F1289" s="2" t="s">
        <v>43</v>
      </c>
      <c r="G1289" s="2" t="s">
        <v>122</v>
      </c>
      <c r="H1289">
        <v>2</v>
      </c>
      <c r="I1289">
        <v>14</v>
      </c>
      <c r="J1289">
        <v>184.86</v>
      </c>
      <c r="K1289">
        <v>7.5000000000000011E-2</v>
      </c>
      <c r="L1289">
        <v>118</v>
      </c>
      <c r="M1289">
        <v>3092.76</v>
      </c>
      <c r="N1289">
        <v>2803.6320000000001</v>
      </c>
      <c r="O1289">
        <v>2036</v>
      </c>
      <c r="P1289">
        <v>767.63200000000006</v>
      </c>
    </row>
    <row r="1290" spans="1:16" x14ac:dyDescent="0.3">
      <c r="A1290" s="1">
        <v>45901</v>
      </c>
      <c r="B1290" s="2" t="s">
        <v>56</v>
      </c>
      <c r="C1290" s="2" t="s">
        <v>72</v>
      </c>
      <c r="D1290" s="2" t="s">
        <v>41</v>
      </c>
      <c r="E1290" s="2" t="s">
        <v>42</v>
      </c>
      <c r="F1290" s="2" t="s">
        <v>43</v>
      </c>
      <c r="G1290" s="2" t="s">
        <v>175</v>
      </c>
      <c r="H1290">
        <v>3</v>
      </c>
      <c r="I1290">
        <v>7</v>
      </c>
      <c r="J1290">
        <v>271.81666666666666</v>
      </c>
      <c r="K1290">
        <v>6.6666666666666666E-2</v>
      </c>
      <c r="L1290">
        <v>167.66666666666666</v>
      </c>
      <c r="M1290">
        <v>2226.9299999999998</v>
      </c>
      <c r="N1290">
        <v>2183.0459999999998</v>
      </c>
      <c r="O1290">
        <v>1401</v>
      </c>
      <c r="P1290">
        <v>782.04599999999982</v>
      </c>
    </row>
    <row r="1291" spans="1:16" x14ac:dyDescent="0.3">
      <c r="A1291" s="1">
        <v>45901</v>
      </c>
      <c r="B1291" s="2" t="s">
        <v>56</v>
      </c>
      <c r="C1291" s="2" t="s">
        <v>72</v>
      </c>
      <c r="D1291" s="2" t="s">
        <v>41</v>
      </c>
      <c r="E1291" s="2" t="s">
        <v>42</v>
      </c>
      <c r="F1291" s="2" t="s">
        <v>52</v>
      </c>
      <c r="G1291" s="2" t="s">
        <v>175</v>
      </c>
      <c r="H1291">
        <v>1</v>
      </c>
      <c r="I1291">
        <v>3</v>
      </c>
      <c r="J1291">
        <v>42.11</v>
      </c>
      <c r="K1291">
        <v>0</v>
      </c>
      <c r="L1291">
        <v>18</v>
      </c>
      <c r="M1291">
        <v>126.33</v>
      </c>
      <c r="N1291">
        <v>126.33</v>
      </c>
      <c r="O1291">
        <v>54</v>
      </c>
      <c r="P1291">
        <v>72.33</v>
      </c>
    </row>
    <row r="1292" spans="1:16" x14ac:dyDescent="0.3">
      <c r="A1292" s="1">
        <v>45901</v>
      </c>
      <c r="B1292" s="2" t="s">
        <v>75</v>
      </c>
      <c r="C1292" s="2" t="s">
        <v>76</v>
      </c>
      <c r="D1292" s="2" t="s">
        <v>50</v>
      </c>
      <c r="E1292" s="2" t="s">
        <v>47</v>
      </c>
      <c r="F1292" s="2" t="s">
        <v>43</v>
      </c>
      <c r="G1292" s="2" t="s">
        <v>142</v>
      </c>
      <c r="H1292">
        <v>1</v>
      </c>
      <c r="I1292">
        <v>2</v>
      </c>
      <c r="J1292">
        <v>112.98</v>
      </c>
      <c r="K1292">
        <v>0.08</v>
      </c>
      <c r="L1292">
        <v>54</v>
      </c>
      <c r="M1292">
        <v>225.96</v>
      </c>
      <c r="N1292">
        <v>207.88320000000002</v>
      </c>
      <c r="O1292">
        <v>108</v>
      </c>
      <c r="P1292">
        <v>99.883200000000016</v>
      </c>
    </row>
    <row r="1293" spans="1:16" x14ac:dyDescent="0.3">
      <c r="A1293" s="1">
        <v>45901</v>
      </c>
      <c r="B1293" s="2" t="s">
        <v>39</v>
      </c>
      <c r="C1293" s="2" t="s">
        <v>92</v>
      </c>
      <c r="D1293" s="2" t="s">
        <v>50</v>
      </c>
      <c r="E1293" s="2" t="s">
        <v>42</v>
      </c>
      <c r="F1293" s="2" t="s">
        <v>48</v>
      </c>
      <c r="G1293" s="2" t="s">
        <v>104</v>
      </c>
      <c r="H1293">
        <v>1</v>
      </c>
      <c r="I1293">
        <v>4</v>
      </c>
      <c r="J1293">
        <v>92.06</v>
      </c>
      <c r="K1293">
        <v>0.08</v>
      </c>
      <c r="L1293">
        <v>39</v>
      </c>
      <c r="M1293">
        <v>368.24</v>
      </c>
      <c r="N1293">
        <v>338.7808</v>
      </c>
      <c r="O1293">
        <v>156</v>
      </c>
      <c r="P1293">
        <v>182.7808</v>
      </c>
    </row>
    <row r="1294" spans="1:16" x14ac:dyDescent="0.3">
      <c r="A1294" s="1">
        <v>45931</v>
      </c>
      <c r="B1294" s="2" t="s">
        <v>65</v>
      </c>
      <c r="C1294" s="2" t="s">
        <v>66</v>
      </c>
      <c r="D1294" s="2" t="s">
        <v>50</v>
      </c>
      <c r="E1294" s="2" t="s">
        <v>51</v>
      </c>
      <c r="F1294" s="2" t="s">
        <v>48</v>
      </c>
      <c r="G1294" s="2" t="s">
        <v>103</v>
      </c>
      <c r="H1294">
        <v>1</v>
      </c>
      <c r="I1294">
        <v>22</v>
      </c>
      <c r="J1294">
        <v>124.54</v>
      </c>
      <c r="K1294">
        <v>0.1</v>
      </c>
      <c r="L1294">
        <v>63</v>
      </c>
      <c r="M1294">
        <v>2739.88</v>
      </c>
      <c r="N1294">
        <v>2465.8920000000003</v>
      </c>
      <c r="O1294">
        <v>1386</v>
      </c>
      <c r="P1294">
        <v>1079.8920000000003</v>
      </c>
    </row>
    <row r="1295" spans="1:16" x14ac:dyDescent="0.3">
      <c r="A1295" s="1">
        <v>45931</v>
      </c>
      <c r="B1295" s="2" t="s">
        <v>39</v>
      </c>
      <c r="C1295" s="2" t="s">
        <v>54</v>
      </c>
      <c r="D1295" s="2" t="s">
        <v>41</v>
      </c>
      <c r="E1295" s="2" t="s">
        <v>47</v>
      </c>
      <c r="F1295" s="2" t="s">
        <v>52</v>
      </c>
      <c r="G1295" s="2" t="s">
        <v>168</v>
      </c>
      <c r="H1295">
        <v>1</v>
      </c>
      <c r="I1295">
        <v>3</v>
      </c>
      <c r="J1295">
        <v>44.74</v>
      </c>
      <c r="K1295">
        <v>0.05</v>
      </c>
      <c r="L1295">
        <v>18</v>
      </c>
      <c r="M1295">
        <v>134.22</v>
      </c>
      <c r="N1295">
        <v>127.50899999999999</v>
      </c>
      <c r="O1295">
        <v>54</v>
      </c>
      <c r="P1295">
        <v>73.508999999999986</v>
      </c>
    </row>
    <row r="1296" spans="1:16" x14ac:dyDescent="0.3">
      <c r="A1296" s="1">
        <v>45931</v>
      </c>
      <c r="B1296" s="2" t="s">
        <v>65</v>
      </c>
      <c r="C1296" s="2" t="s">
        <v>134</v>
      </c>
      <c r="D1296" s="2" t="s">
        <v>41</v>
      </c>
      <c r="E1296" s="2" t="s">
        <v>47</v>
      </c>
      <c r="F1296" s="2" t="s">
        <v>43</v>
      </c>
      <c r="G1296" s="2" t="s">
        <v>218</v>
      </c>
      <c r="H1296">
        <v>2</v>
      </c>
      <c r="I1296">
        <v>2</v>
      </c>
      <c r="J1296">
        <v>751.33</v>
      </c>
      <c r="K1296">
        <v>0.05</v>
      </c>
      <c r="L1296">
        <v>457.5</v>
      </c>
      <c r="M1296">
        <v>1502.66</v>
      </c>
      <c r="N1296">
        <v>1440.5520000000001</v>
      </c>
      <c r="O1296">
        <v>915</v>
      </c>
      <c r="P1296">
        <v>525.55200000000013</v>
      </c>
    </row>
    <row r="1297" spans="1:16" x14ac:dyDescent="0.3">
      <c r="A1297" s="1">
        <v>45931</v>
      </c>
      <c r="B1297" s="2" t="s">
        <v>65</v>
      </c>
      <c r="C1297" s="2" t="s">
        <v>66</v>
      </c>
      <c r="D1297" s="2" t="s">
        <v>50</v>
      </c>
      <c r="E1297" s="2" t="s">
        <v>42</v>
      </c>
      <c r="F1297" s="2" t="s">
        <v>52</v>
      </c>
      <c r="G1297" s="2" t="s">
        <v>195</v>
      </c>
      <c r="H1297">
        <v>2</v>
      </c>
      <c r="I1297">
        <v>3</v>
      </c>
      <c r="J1297">
        <v>130.48500000000001</v>
      </c>
      <c r="K1297">
        <v>0.1</v>
      </c>
      <c r="L1297">
        <v>71</v>
      </c>
      <c r="M1297">
        <v>304.48</v>
      </c>
      <c r="N1297">
        <v>274.03199999999998</v>
      </c>
      <c r="O1297">
        <v>160</v>
      </c>
      <c r="P1297">
        <v>114.032</v>
      </c>
    </row>
    <row r="1298" spans="1:16" x14ac:dyDescent="0.3">
      <c r="A1298" s="1">
        <v>45931</v>
      </c>
      <c r="B1298" s="2" t="s">
        <v>39</v>
      </c>
      <c r="C1298" s="2" t="s">
        <v>78</v>
      </c>
      <c r="D1298" s="2" t="s">
        <v>50</v>
      </c>
      <c r="E1298" s="2" t="s">
        <v>51</v>
      </c>
      <c r="F1298" s="2" t="s">
        <v>43</v>
      </c>
      <c r="G1298" s="2" t="s">
        <v>190</v>
      </c>
      <c r="H1298">
        <v>1</v>
      </c>
      <c r="I1298">
        <v>6</v>
      </c>
      <c r="J1298">
        <v>158.83000000000001</v>
      </c>
      <c r="K1298">
        <v>0.1</v>
      </c>
      <c r="L1298">
        <v>86</v>
      </c>
      <c r="M1298">
        <v>952.98</v>
      </c>
      <c r="N1298">
        <v>857.68200000000002</v>
      </c>
      <c r="O1298">
        <v>516</v>
      </c>
      <c r="P1298">
        <v>341.68200000000002</v>
      </c>
    </row>
    <row r="1299" spans="1:16" x14ac:dyDescent="0.3">
      <c r="A1299" s="1">
        <v>45931</v>
      </c>
      <c r="B1299" s="2" t="s">
        <v>56</v>
      </c>
      <c r="C1299" s="2" t="s">
        <v>72</v>
      </c>
      <c r="D1299" s="2" t="s">
        <v>41</v>
      </c>
      <c r="E1299" s="2" t="s">
        <v>42</v>
      </c>
      <c r="F1299" s="2" t="s">
        <v>48</v>
      </c>
      <c r="G1299" s="2" t="s">
        <v>179</v>
      </c>
      <c r="H1299">
        <v>3</v>
      </c>
      <c r="I1299">
        <v>5</v>
      </c>
      <c r="J1299">
        <v>46.86333333333333</v>
      </c>
      <c r="K1299">
        <v>0</v>
      </c>
      <c r="L1299">
        <v>135.33333333333331</v>
      </c>
      <c r="M1299">
        <v>324.37000000000006</v>
      </c>
      <c r="N1299">
        <v>324.37000000000006</v>
      </c>
      <c r="O1299">
        <v>1186</v>
      </c>
      <c r="P1299">
        <v>-861.62999999999988</v>
      </c>
    </row>
    <row r="1300" spans="1:16" x14ac:dyDescent="0.3">
      <c r="A1300" s="1">
        <v>45931</v>
      </c>
      <c r="B1300" s="2" t="s">
        <v>56</v>
      </c>
      <c r="C1300" s="2" t="s">
        <v>72</v>
      </c>
      <c r="D1300" s="2" t="s">
        <v>41</v>
      </c>
      <c r="E1300" s="2" t="s">
        <v>42</v>
      </c>
      <c r="F1300" s="2" t="s">
        <v>52</v>
      </c>
      <c r="G1300" s="2" t="s">
        <v>179</v>
      </c>
      <c r="H1300">
        <v>1</v>
      </c>
      <c r="I1300">
        <v>1</v>
      </c>
      <c r="J1300">
        <v>42.33</v>
      </c>
      <c r="K1300">
        <v>0.05</v>
      </c>
      <c r="L1300">
        <v>18</v>
      </c>
      <c r="M1300">
        <v>42.33</v>
      </c>
      <c r="N1300">
        <v>40.213499999999996</v>
      </c>
      <c r="O1300">
        <v>18</v>
      </c>
      <c r="P1300">
        <v>22.213499999999996</v>
      </c>
    </row>
    <row r="1301" spans="1:16" x14ac:dyDescent="0.3">
      <c r="A1301" s="1">
        <v>45931</v>
      </c>
      <c r="B1301" s="2" t="s">
        <v>39</v>
      </c>
      <c r="C1301" s="2" t="s">
        <v>88</v>
      </c>
      <c r="D1301" s="2" t="s">
        <v>50</v>
      </c>
      <c r="E1301" s="2" t="s">
        <v>47</v>
      </c>
      <c r="F1301" s="2" t="s">
        <v>48</v>
      </c>
      <c r="G1301" s="2" t="s">
        <v>192</v>
      </c>
      <c r="H1301">
        <v>1</v>
      </c>
      <c r="I1301">
        <v>2</v>
      </c>
      <c r="J1301">
        <v>24.45</v>
      </c>
      <c r="K1301">
        <v>0.1</v>
      </c>
      <c r="L1301">
        <v>8</v>
      </c>
      <c r="M1301">
        <v>48.9</v>
      </c>
      <c r="N1301">
        <v>44.01</v>
      </c>
      <c r="O1301">
        <v>16</v>
      </c>
      <c r="P1301">
        <v>28.009999999999998</v>
      </c>
    </row>
    <row r="1302" spans="1:16" x14ac:dyDescent="0.3">
      <c r="A1302" s="1">
        <v>45931</v>
      </c>
      <c r="B1302" s="2" t="s">
        <v>39</v>
      </c>
      <c r="C1302" s="2" t="s">
        <v>78</v>
      </c>
      <c r="D1302" s="2" t="s">
        <v>41</v>
      </c>
      <c r="E1302" s="2" t="s">
        <v>51</v>
      </c>
      <c r="F1302" s="2" t="s">
        <v>43</v>
      </c>
      <c r="G1302" s="2" t="s">
        <v>123</v>
      </c>
      <c r="H1302">
        <v>1</v>
      </c>
      <c r="I1302">
        <v>13</v>
      </c>
      <c r="J1302">
        <v>159.59</v>
      </c>
      <c r="K1302">
        <v>0</v>
      </c>
      <c r="L1302">
        <v>86</v>
      </c>
      <c r="M1302">
        <v>2074.67</v>
      </c>
      <c r="N1302">
        <v>2074.67</v>
      </c>
      <c r="O1302">
        <v>1118</v>
      </c>
      <c r="P1302">
        <v>956.67000000000007</v>
      </c>
    </row>
    <row r="1303" spans="1:16" x14ac:dyDescent="0.3">
      <c r="A1303" s="1">
        <v>45931</v>
      </c>
      <c r="B1303" s="2" t="s">
        <v>39</v>
      </c>
      <c r="C1303" s="2" t="s">
        <v>78</v>
      </c>
      <c r="D1303" s="2" t="s">
        <v>46</v>
      </c>
      <c r="E1303" s="2" t="s">
        <v>47</v>
      </c>
      <c r="F1303" s="2" t="s">
        <v>43</v>
      </c>
      <c r="G1303" s="2" t="s">
        <v>223</v>
      </c>
      <c r="H1303">
        <v>1</v>
      </c>
      <c r="I1303">
        <v>4</v>
      </c>
      <c r="J1303">
        <v>1206.99</v>
      </c>
      <c r="K1303">
        <v>0.05</v>
      </c>
      <c r="L1303">
        <v>760</v>
      </c>
      <c r="M1303">
        <v>4827.96</v>
      </c>
      <c r="N1303">
        <v>4586.5619999999999</v>
      </c>
      <c r="O1303">
        <v>3040</v>
      </c>
      <c r="P1303">
        <v>1546.5619999999999</v>
      </c>
    </row>
    <row r="1304" spans="1:16" x14ac:dyDescent="0.3">
      <c r="A1304" s="1">
        <v>45931</v>
      </c>
      <c r="B1304" s="2" t="s">
        <v>65</v>
      </c>
      <c r="C1304" s="2" t="s">
        <v>66</v>
      </c>
      <c r="D1304" s="2" t="s">
        <v>41</v>
      </c>
      <c r="E1304" s="2" t="s">
        <v>47</v>
      </c>
      <c r="F1304" s="2" t="s">
        <v>43</v>
      </c>
      <c r="G1304" s="2" t="s">
        <v>176</v>
      </c>
      <c r="H1304">
        <v>1</v>
      </c>
      <c r="I1304">
        <v>1</v>
      </c>
      <c r="J1304">
        <v>109.63</v>
      </c>
      <c r="K1304">
        <v>0</v>
      </c>
      <c r="L1304">
        <v>54</v>
      </c>
      <c r="M1304">
        <v>109.63</v>
      </c>
      <c r="N1304">
        <v>109.63</v>
      </c>
      <c r="O1304">
        <v>54</v>
      </c>
      <c r="P1304">
        <v>55.629999999999995</v>
      </c>
    </row>
    <row r="1305" spans="1:16" x14ac:dyDescent="0.3">
      <c r="A1305" s="1">
        <v>45931</v>
      </c>
      <c r="B1305" s="2" t="s">
        <v>39</v>
      </c>
      <c r="C1305" s="2" t="s">
        <v>40</v>
      </c>
      <c r="D1305" s="2" t="s">
        <v>41</v>
      </c>
      <c r="E1305" s="2" t="s">
        <v>47</v>
      </c>
      <c r="F1305" s="2" t="s">
        <v>48</v>
      </c>
      <c r="G1305" s="2" t="s">
        <v>86</v>
      </c>
      <c r="H1305">
        <v>1</v>
      </c>
      <c r="I1305">
        <v>5</v>
      </c>
      <c r="J1305">
        <v>75.87</v>
      </c>
      <c r="K1305">
        <v>0</v>
      </c>
      <c r="L1305">
        <v>31</v>
      </c>
      <c r="M1305">
        <v>379.35</v>
      </c>
      <c r="N1305">
        <v>379.35</v>
      </c>
      <c r="O1305">
        <v>155</v>
      </c>
      <c r="P1305">
        <v>224.35000000000002</v>
      </c>
    </row>
    <row r="1306" spans="1:16" x14ac:dyDescent="0.3">
      <c r="A1306" s="1">
        <v>45931</v>
      </c>
      <c r="B1306" s="2" t="s">
        <v>39</v>
      </c>
      <c r="C1306" s="2" t="s">
        <v>92</v>
      </c>
      <c r="D1306" s="2" t="s">
        <v>50</v>
      </c>
      <c r="E1306" s="2" t="s">
        <v>47</v>
      </c>
      <c r="F1306" s="2" t="s">
        <v>48</v>
      </c>
      <c r="G1306" s="2" t="s">
        <v>160</v>
      </c>
      <c r="H1306">
        <v>1</v>
      </c>
      <c r="I1306">
        <v>6</v>
      </c>
      <c r="J1306">
        <v>143.19</v>
      </c>
      <c r="K1306">
        <v>0.1</v>
      </c>
      <c r="L1306">
        <v>63</v>
      </c>
      <c r="M1306">
        <v>859.14</v>
      </c>
      <c r="N1306">
        <v>773.226</v>
      </c>
      <c r="O1306">
        <v>378</v>
      </c>
      <c r="P1306">
        <v>395.226</v>
      </c>
    </row>
    <row r="1307" spans="1:16" x14ac:dyDescent="0.3">
      <c r="A1307" s="1">
        <v>45931</v>
      </c>
      <c r="B1307" s="2" t="s">
        <v>75</v>
      </c>
      <c r="C1307" s="2" t="s">
        <v>76</v>
      </c>
      <c r="D1307" s="2" t="s">
        <v>50</v>
      </c>
      <c r="E1307" s="2" t="s">
        <v>42</v>
      </c>
      <c r="F1307" s="2" t="s">
        <v>48</v>
      </c>
      <c r="G1307" s="2" t="s">
        <v>142</v>
      </c>
      <c r="H1307">
        <v>1</v>
      </c>
      <c r="I1307">
        <v>1</v>
      </c>
      <c r="J1307">
        <v>23.63</v>
      </c>
      <c r="K1307">
        <v>0.08</v>
      </c>
      <c r="L1307">
        <v>8</v>
      </c>
      <c r="M1307">
        <v>23.63</v>
      </c>
      <c r="N1307">
        <v>21.739599999999999</v>
      </c>
      <c r="O1307">
        <v>8</v>
      </c>
      <c r="P1307">
        <v>13.739599999999999</v>
      </c>
    </row>
    <row r="1308" spans="1:16" x14ac:dyDescent="0.3">
      <c r="A1308" s="1">
        <v>45931</v>
      </c>
      <c r="B1308" s="2" t="s">
        <v>39</v>
      </c>
      <c r="C1308" s="2" t="s">
        <v>45</v>
      </c>
      <c r="D1308" s="2" t="s">
        <v>46</v>
      </c>
      <c r="E1308" s="2" t="s">
        <v>51</v>
      </c>
      <c r="F1308" s="2" t="s">
        <v>48</v>
      </c>
      <c r="G1308" s="2" t="s">
        <v>90</v>
      </c>
      <c r="H1308">
        <v>2</v>
      </c>
      <c r="I1308">
        <v>38</v>
      </c>
      <c r="J1308">
        <v>75.19</v>
      </c>
      <c r="K1308">
        <v>8.4999999999999992E-2</v>
      </c>
      <c r="L1308">
        <v>35</v>
      </c>
      <c r="M1308">
        <v>2836.7200000000003</v>
      </c>
      <c r="N1308">
        <v>2603.9679999999998</v>
      </c>
      <c r="O1308">
        <v>1322</v>
      </c>
      <c r="P1308">
        <v>1281.9679999999998</v>
      </c>
    </row>
    <row r="1309" spans="1:16" x14ac:dyDescent="0.3">
      <c r="A1309" s="1">
        <v>45931</v>
      </c>
      <c r="B1309" s="2" t="s">
        <v>39</v>
      </c>
      <c r="C1309" s="2" t="s">
        <v>45</v>
      </c>
      <c r="D1309" s="2" t="s">
        <v>50</v>
      </c>
      <c r="E1309" s="2" t="s">
        <v>47</v>
      </c>
      <c r="F1309" s="2" t="s">
        <v>43</v>
      </c>
      <c r="G1309" s="2" t="s">
        <v>53</v>
      </c>
      <c r="H1309">
        <v>1</v>
      </c>
      <c r="I1309">
        <v>4</v>
      </c>
      <c r="J1309">
        <v>1178</v>
      </c>
      <c r="K1309">
        <v>0.05</v>
      </c>
      <c r="L1309">
        <v>760</v>
      </c>
      <c r="M1309">
        <v>4712</v>
      </c>
      <c r="N1309">
        <v>4476.3999999999996</v>
      </c>
      <c r="O1309">
        <v>3040</v>
      </c>
      <c r="P1309">
        <v>1436.3999999999996</v>
      </c>
    </row>
    <row r="1310" spans="1:16" x14ac:dyDescent="0.3">
      <c r="A1310" s="1">
        <v>45931</v>
      </c>
      <c r="B1310" s="2" t="s">
        <v>56</v>
      </c>
      <c r="C1310" s="2" t="s">
        <v>72</v>
      </c>
      <c r="D1310" s="2" t="s">
        <v>50</v>
      </c>
      <c r="E1310" s="2" t="s">
        <v>51</v>
      </c>
      <c r="F1310" s="2" t="s">
        <v>52</v>
      </c>
      <c r="G1310" s="2" t="s">
        <v>73</v>
      </c>
      <c r="H1310">
        <v>1</v>
      </c>
      <c r="I1310">
        <v>3</v>
      </c>
      <c r="J1310">
        <v>198.66</v>
      </c>
      <c r="K1310">
        <v>0</v>
      </c>
      <c r="L1310">
        <v>124</v>
      </c>
      <c r="M1310">
        <v>595.98</v>
      </c>
      <c r="N1310">
        <v>595.98</v>
      </c>
      <c r="O1310">
        <v>372</v>
      </c>
      <c r="P1310">
        <v>223.98000000000002</v>
      </c>
    </row>
    <row r="1311" spans="1:16" x14ac:dyDescent="0.3">
      <c r="A1311" s="1">
        <v>45931</v>
      </c>
      <c r="B1311" s="2" t="s">
        <v>65</v>
      </c>
      <c r="C1311" s="2" t="s">
        <v>66</v>
      </c>
      <c r="D1311" s="2" t="s">
        <v>41</v>
      </c>
      <c r="E1311" s="2" t="s">
        <v>47</v>
      </c>
      <c r="F1311" s="2" t="s">
        <v>43</v>
      </c>
      <c r="G1311" s="2" t="s">
        <v>67</v>
      </c>
      <c r="H1311">
        <v>1</v>
      </c>
      <c r="I1311">
        <v>3</v>
      </c>
      <c r="J1311">
        <v>642.23</v>
      </c>
      <c r="K1311">
        <v>0.05</v>
      </c>
      <c r="L1311">
        <v>395</v>
      </c>
      <c r="M1311">
        <v>1926.69</v>
      </c>
      <c r="N1311">
        <v>1830.3554999999999</v>
      </c>
      <c r="O1311">
        <v>1185</v>
      </c>
      <c r="P1311">
        <v>645.35549999999989</v>
      </c>
    </row>
    <row r="1312" spans="1:16" x14ac:dyDescent="0.3">
      <c r="A1312" s="1">
        <v>45931</v>
      </c>
      <c r="B1312" s="2" t="s">
        <v>39</v>
      </c>
      <c r="C1312" s="2" t="s">
        <v>40</v>
      </c>
      <c r="D1312" s="2" t="s">
        <v>46</v>
      </c>
      <c r="E1312" s="2" t="s">
        <v>47</v>
      </c>
      <c r="F1312" s="2" t="s">
        <v>43</v>
      </c>
      <c r="G1312" s="2" t="s">
        <v>228</v>
      </c>
      <c r="H1312">
        <v>1</v>
      </c>
      <c r="I1312">
        <v>1</v>
      </c>
      <c r="J1312">
        <v>180.87</v>
      </c>
      <c r="K1312">
        <v>0.12</v>
      </c>
      <c r="L1312">
        <v>86</v>
      </c>
      <c r="M1312">
        <v>180.87</v>
      </c>
      <c r="N1312">
        <v>159.16560000000001</v>
      </c>
      <c r="O1312">
        <v>86</v>
      </c>
      <c r="P1312">
        <v>73.165600000000012</v>
      </c>
    </row>
    <row r="1313" spans="1:16" x14ac:dyDescent="0.3">
      <c r="A1313" s="1">
        <v>45931</v>
      </c>
      <c r="B1313" s="2" t="s">
        <v>56</v>
      </c>
      <c r="C1313" s="2" t="s">
        <v>57</v>
      </c>
      <c r="D1313" s="2" t="s">
        <v>46</v>
      </c>
      <c r="E1313" s="2" t="s">
        <v>42</v>
      </c>
      <c r="F1313" s="2" t="s">
        <v>43</v>
      </c>
      <c r="G1313" s="2" t="s">
        <v>112</v>
      </c>
      <c r="H1313">
        <v>2</v>
      </c>
      <c r="I1313">
        <v>3</v>
      </c>
      <c r="J1313">
        <v>391.42499999999995</v>
      </c>
      <c r="K1313">
        <v>0.09</v>
      </c>
      <c r="L1313">
        <v>240.5</v>
      </c>
      <c r="M1313">
        <v>1386.3999999999999</v>
      </c>
      <c r="N1313">
        <v>1251.346</v>
      </c>
      <c r="O1313">
        <v>876</v>
      </c>
      <c r="P1313">
        <v>375.34599999999989</v>
      </c>
    </row>
    <row r="1314" spans="1:16" x14ac:dyDescent="0.3">
      <c r="A1314" s="1">
        <v>45931</v>
      </c>
      <c r="B1314" s="2" t="s">
        <v>39</v>
      </c>
      <c r="C1314" s="2" t="s">
        <v>92</v>
      </c>
      <c r="D1314" s="2" t="s">
        <v>46</v>
      </c>
      <c r="E1314" s="2" t="s">
        <v>47</v>
      </c>
      <c r="F1314" s="2" t="s">
        <v>43</v>
      </c>
      <c r="G1314" s="2" t="s">
        <v>93</v>
      </c>
      <c r="H1314">
        <v>1</v>
      </c>
      <c r="I1314">
        <v>1</v>
      </c>
      <c r="J1314">
        <v>111.41</v>
      </c>
      <c r="K1314">
        <v>0.1</v>
      </c>
      <c r="L1314">
        <v>54</v>
      </c>
      <c r="M1314">
        <v>111.41</v>
      </c>
      <c r="N1314">
        <v>100.26900000000001</v>
      </c>
      <c r="O1314">
        <v>54</v>
      </c>
      <c r="P1314">
        <v>46.269000000000005</v>
      </c>
    </row>
    <row r="1315" spans="1:16" x14ac:dyDescent="0.3">
      <c r="A1315" s="1">
        <v>45931</v>
      </c>
      <c r="B1315" s="2" t="s">
        <v>39</v>
      </c>
      <c r="C1315" s="2" t="s">
        <v>88</v>
      </c>
      <c r="D1315" s="2" t="s">
        <v>41</v>
      </c>
      <c r="E1315" s="2" t="s">
        <v>42</v>
      </c>
      <c r="F1315" s="2" t="s">
        <v>43</v>
      </c>
      <c r="G1315" s="2" t="s">
        <v>154</v>
      </c>
      <c r="H1315">
        <v>1</v>
      </c>
      <c r="I1315">
        <v>2</v>
      </c>
      <c r="J1315">
        <v>612.25</v>
      </c>
      <c r="K1315">
        <v>0</v>
      </c>
      <c r="L1315">
        <v>395</v>
      </c>
      <c r="M1315">
        <v>1224.5</v>
      </c>
      <c r="N1315">
        <v>1224.5</v>
      </c>
      <c r="O1315">
        <v>790</v>
      </c>
      <c r="P1315">
        <v>434.5</v>
      </c>
    </row>
    <row r="1316" spans="1:16" x14ac:dyDescent="0.3">
      <c r="A1316" s="1">
        <v>45931</v>
      </c>
      <c r="B1316" s="2" t="s">
        <v>39</v>
      </c>
      <c r="C1316" s="2" t="s">
        <v>40</v>
      </c>
      <c r="D1316" s="2" t="s">
        <v>50</v>
      </c>
      <c r="E1316" s="2" t="s">
        <v>47</v>
      </c>
      <c r="F1316" s="2" t="s">
        <v>43</v>
      </c>
      <c r="G1316" s="2" t="s">
        <v>205</v>
      </c>
      <c r="H1316">
        <v>1</v>
      </c>
      <c r="I1316">
        <v>2</v>
      </c>
      <c r="J1316">
        <v>879.27</v>
      </c>
      <c r="K1316">
        <v>0.05</v>
      </c>
      <c r="L1316">
        <v>520</v>
      </c>
      <c r="M1316">
        <v>1758.54</v>
      </c>
      <c r="N1316">
        <v>1670.6129999999998</v>
      </c>
      <c r="O1316">
        <v>1040</v>
      </c>
      <c r="P1316">
        <v>630.61299999999983</v>
      </c>
    </row>
    <row r="1317" spans="1:16" x14ac:dyDescent="0.3">
      <c r="A1317" s="1">
        <v>45931</v>
      </c>
      <c r="B1317" s="2" t="s">
        <v>39</v>
      </c>
      <c r="C1317" s="2" t="s">
        <v>78</v>
      </c>
      <c r="D1317" s="2" t="s">
        <v>50</v>
      </c>
      <c r="E1317" s="2" t="s">
        <v>51</v>
      </c>
      <c r="F1317" s="2" t="s">
        <v>43</v>
      </c>
      <c r="G1317" s="2" t="s">
        <v>163</v>
      </c>
      <c r="H1317">
        <v>2</v>
      </c>
      <c r="I1317">
        <v>13</v>
      </c>
      <c r="J1317">
        <v>814.13</v>
      </c>
      <c r="K1317">
        <v>0.1</v>
      </c>
      <c r="L1317">
        <v>577.5</v>
      </c>
      <c r="M1317">
        <v>8910.2000000000007</v>
      </c>
      <c r="N1317">
        <v>8071</v>
      </c>
      <c r="O1317">
        <v>6230</v>
      </c>
      <c r="P1317">
        <v>1841</v>
      </c>
    </row>
    <row r="1318" spans="1:16" x14ac:dyDescent="0.3">
      <c r="A1318" s="1">
        <v>45931</v>
      </c>
      <c r="B1318" s="2" t="s">
        <v>39</v>
      </c>
      <c r="C1318" s="2" t="s">
        <v>78</v>
      </c>
      <c r="D1318" s="2" t="s">
        <v>50</v>
      </c>
      <c r="E1318" s="2" t="s">
        <v>51</v>
      </c>
      <c r="F1318" s="2" t="s">
        <v>48</v>
      </c>
      <c r="G1318" s="2" t="s">
        <v>163</v>
      </c>
      <c r="H1318">
        <v>1</v>
      </c>
      <c r="I1318">
        <v>19</v>
      </c>
      <c r="J1318">
        <v>64.680000000000007</v>
      </c>
      <c r="K1318">
        <v>0.12</v>
      </c>
      <c r="L1318">
        <v>31</v>
      </c>
      <c r="M1318">
        <v>1228.92</v>
      </c>
      <c r="N1318">
        <v>1081.4496000000001</v>
      </c>
      <c r="O1318">
        <v>589</v>
      </c>
      <c r="P1318">
        <v>492.44960000000015</v>
      </c>
    </row>
    <row r="1319" spans="1:16" x14ac:dyDescent="0.3">
      <c r="A1319" s="1">
        <v>45931</v>
      </c>
      <c r="B1319" s="2" t="s">
        <v>56</v>
      </c>
      <c r="C1319" s="2" t="s">
        <v>72</v>
      </c>
      <c r="D1319" s="2" t="s">
        <v>50</v>
      </c>
      <c r="E1319" s="2" t="s">
        <v>42</v>
      </c>
      <c r="F1319" s="2" t="s">
        <v>48</v>
      </c>
      <c r="G1319" s="2" t="s">
        <v>73</v>
      </c>
      <c r="H1319">
        <v>1</v>
      </c>
      <c r="I1319">
        <v>4</v>
      </c>
      <c r="J1319">
        <v>89.53</v>
      </c>
      <c r="K1319">
        <v>0.05</v>
      </c>
      <c r="L1319">
        <v>39</v>
      </c>
      <c r="M1319">
        <v>358.12</v>
      </c>
      <c r="N1319">
        <v>340.214</v>
      </c>
      <c r="O1319">
        <v>156</v>
      </c>
      <c r="P1319">
        <v>184.214</v>
      </c>
    </row>
    <row r="1320" spans="1:16" x14ac:dyDescent="0.3">
      <c r="A1320" s="1">
        <v>45931</v>
      </c>
      <c r="B1320" s="2" t="s">
        <v>39</v>
      </c>
      <c r="C1320" s="2" t="s">
        <v>40</v>
      </c>
      <c r="D1320" s="2" t="s">
        <v>46</v>
      </c>
      <c r="E1320" s="2" t="s">
        <v>47</v>
      </c>
      <c r="F1320" s="2" t="s">
        <v>52</v>
      </c>
      <c r="G1320" s="2" t="s">
        <v>228</v>
      </c>
      <c r="H1320">
        <v>1</v>
      </c>
      <c r="I1320">
        <v>3</v>
      </c>
      <c r="J1320">
        <v>215.47</v>
      </c>
      <c r="K1320">
        <v>0.12</v>
      </c>
      <c r="L1320">
        <v>124</v>
      </c>
      <c r="M1320">
        <v>646.41</v>
      </c>
      <c r="N1320">
        <v>568.84079999999994</v>
      </c>
      <c r="O1320">
        <v>372</v>
      </c>
      <c r="P1320">
        <v>196.84079999999994</v>
      </c>
    </row>
    <row r="1321" spans="1:16" x14ac:dyDescent="0.3">
      <c r="A1321" s="1">
        <v>45931</v>
      </c>
      <c r="B1321" s="2" t="s">
        <v>39</v>
      </c>
      <c r="C1321" s="2" t="s">
        <v>54</v>
      </c>
      <c r="D1321" s="2" t="s">
        <v>41</v>
      </c>
      <c r="E1321" s="2" t="s">
        <v>47</v>
      </c>
      <c r="F1321" s="2" t="s">
        <v>48</v>
      </c>
      <c r="G1321" s="2" t="s">
        <v>138</v>
      </c>
      <c r="H1321">
        <v>1</v>
      </c>
      <c r="I1321">
        <v>5</v>
      </c>
      <c r="J1321">
        <v>74.02</v>
      </c>
      <c r="K1321">
        <v>0</v>
      </c>
      <c r="L1321">
        <v>31</v>
      </c>
      <c r="M1321">
        <v>370.09999999999997</v>
      </c>
      <c r="N1321">
        <v>370.09999999999997</v>
      </c>
      <c r="O1321">
        <v>155</v>
      </c>
      <c r="P1321">
        <v>215.09999999999997</v>
      </c>
    </row>
    <row r="1322" spans="1:16" x14ac:dyDescent="0.3">
      <c r="A1322" s="1">
        <v>45931</v>
      </c>
      <c r="B1322" s="2" t="s">
        <v>39</v>
      </c>
      <c r="C1322" s="2" t="s">
        <v>54</v>
      </c>
      <c r="D1322" s="2" t="s">
        <v>41</v>
      </c>
      <c r="E1322" s="2" t="s">
        <v>47</v>
      </c>
      <c r="F1322" s="2" t="s">
        <v>43</v>
      </c>
      <c r="G1322" s="2" t="s">
        <v>138</v>
      </c>
      <c r="H1322">
        <v>2</v>
      </c>
      <c r="I1322">
        <v>5</v>
      </c>
      <c r="J1322">
        <v>381.5</v>
      </c>
      <c r="K1322">
        <v>0</v>
      </c>
      <c r="L1322">
        <v>224.5</v>
      </c>
      <c r="M1322">
        <v>1637.76</v>
      </c>
      <c r="N1322">
        <v>1637.76</v>
      </c>
      <c r="O1322">
        <v>952</v>
      </c>
      <c r="P1322">
        <v>685.76</v>
      </c>
    </row>
    <row r="1323" spans="1:16" x14ac:dyDescent="0.3">
      <c r="A1323" s="1">
        <v>45931</v>
      </c>
      <c r="B1323" s="2" t="s">
        <v>39</v>
      </c>
      <c r="C1323" s="2" t="s">
        <v>92</v>
      </c>
      <c r="D1323" s="2" t="s">
        <v>41</v>
      </c>
      <c r="E1323" s="2" t="s">
        <v>42</v>
      </c>
      <c r="F1323" s="2" t="s">
        <v>48</v>
      </c>
      <c r="G1323" s="2" t="s">
        <v>111</v>
      </c>
      <c r="H1323">
        <v>1</v>
      </c>
      <c r="I1323">
        <v>3</v>
      </c>
      <c r="J1323">
        <v>73.180000000000007</v>
      </c>
      <c r="K1323">
        <v>0</v>
      </c>
      <c r="L1323">
        <v>31</v>
      </c>
      <c r="M1323">
        <v>219.54000000000002</v>
      </c>
      <c r="N1323">
        <v>219.54000000000002</v>
      </c>
      <c r="O1323">
        <v>93</v>
      </c>
      <c r="P1323">
        <v>126.54000000000002</v>
      </c>
    </row>
    <row r="1324" spans="1:16" x14ac:dyDescent="0.3">
      <c r="A1324" s="1">
        <v>45931</v>
      </c>
      <c r="B1324" s="2" t="s">
        <v>39</v>
      </c>
      <c r="C1324" s="2" t="s">
        <v>92</v>
      </c>
      <c r="D1324" s="2" t="s">
        <v>41</v>
      </c>
      <c r="E1324" s="2" t="s">
        <v>42</v>
      </c>
      <c r="F1324" s="2" t="s">
        <v>43</v>
      </c>
      <c r="G1324" s="2" t="s">
        <v>111</v>
      </c>
      <c r="H1324">
        <v>1</v>
      </c>
      <c r="I1324">
        <v>1</v>
      </c>
      <c r="J1324">
        <v>615.80999999999995</v>
      </c>
      <c r="K1324">
        <v>0</v>
      </c>
      <c r="L1324">
        <v>395</v>
      </c>
      <c r="M1324">
        <v>615.80999999999995</v>
      </c>
      <c r="N1324">
        <v>615.80999999999995</v>
      </c>
      <c r="O1324">
        <v>395</v>
      </c>
      <c r="P1324">
        <v>220.80999999999995</v>
      </c>
    </row>
    <row r="1325" spans="1:16" x14ac:dyDescent="0.3">
      <c r="A1325" s="1">
        <v>45931</v>
      </c>
      <c r="B1325" s="2" t="s">
        <v>39</v>
      </c>
      <c r="C1325" s="2" t="s">
        <v>92</v>
      </c>
      <c r="D1325" s="2" t="s">
        <v>41</v>
      </c>
      <c r="E1325" s="2" t="s">
        <v>42</v>
      </c>
      <c r="F1325" s="2" t="s">
        <v>52</v>
      </c>
      <c r="G1325" s="2" t="s">
        <v>111</v>
      </c>
      <c r="H1325">
        <v>1</v>
      </c>
      <c r="I1325">
        <v>1</v>
      </c>
      <c r="J1325">
        <v>217.1</v>
      </c>
      <c r="K1325">
        <v>0</v>
      </c>
      <c r="L1325">
        <v>124</v>
      </c>
      <c r="M1325">
        <v>217.1</v>
      </c>
      <c r="N1325">
        <v>217.1</v>
      </c>
      <c r="O1325">
        <v>124</v>
      </c>
      <c r="P1325">
        <v>93.1</v>
      </c>
    </row>
    <row r="1326" spans="1:16" x14ac:dyDescent="0.3">
      <c r="A1326" s="1">
        <v>45931</v>
      </c>
      <c r="B1326" s="2" t="s">
        <v>83</v>
      </c>
      <c r="C1326" s="2" t="s">
        <v>164</v>
      </c>
      <c r="D1326" s="2" t="s">
        <v>50</v>
      </c>
      <c r="E1326" s="2" t="s">
        <v>51</v>
      </c>
      <c r="F1326" s="2" t="s">
        <v>52</v>
      </c>
      <c r="G1326" s="2" t="s">
        <v>211</v>
      </c>
      <c r="H1326">
        <v>1</v>
      </c>
      <c r="I1326">
        <v>5</v>
      </c>
      <c r="J1326">
        <v>38.22</v>
      </c>
      <c r="K1326">
        <v>0.05</v>
      </c>
      <c r="L1326">
        <v>18</v>
      </c>
      <c r="M1326">
        <v>191.1</v>
      </c>
      <c r="N1326">
        <v>181.54499999999999</v>
      </c>
      <c r="O1326">
        <v>90</v>
      </c>
      <c r="P1326">
        <v>91.544999999999987</v>
      </c>
    </row>
    <row r="1327" spans="1:16" x14ac:dyDescent="0.3">
      <c r="A1327" s="1">
        <v>45931</v>
      </c>
      <c r="B1327" s="2" t="s">
        <v>39</v>
      </c>
      <c r="C1327" s="2" t="s">
        <v>92</v>
      </c>
      <c r="D1327" s="2" t="s">
        <v>46</v>
      </c>
      <c r="E1327" s="2" t="s">
        <v>51</v>
      </c>
      <c r="F1327" s="2" t="s">
        <v>43</v>
      </c>
      <c r="G1327" s="2" t="s">
        <v>169</v>
      </c>
      <c r="H1327">
        <v>2</v>
      </c>
      <c r="I1327">
        <v>16</v>
      </c>
      <c r="J1327">
        <v>264.79999999999995</v>
      </c>
      <c r="K1327">
        <v>6.5000000000000002E-2</v>
      </c>
      <c r="L1327">
        <v>182</v>
      </c>
      <c r="M1327">
        <v>4231.4799999999996</v>
      </c>
      <c r="N1327">
        <v>3963.7393999999995</v>
      </c>
      <c r="O1327">
        <v>2912</v>
      </c>
      <c r="P1327">
        <v>1051.7393999999995</v>
      </c>
    </row>
    <row r="1328" spans="1:16" x14ac:dyDescent="0.3">
      <c r="A1328" s="1">
        <v>45931</v>
      </c>
      <c r="B1328" s="2" t="s">
        <v>39</v>
      </c>
      <c r="C1328" s="2" t="s">
        <v>92</v>
      </c>
      <c r="D1328" s="2" t="s">
        <v>41</v>
      </c>
      <c r="E1328" s="2" t="s">
        <v>47</v>
      </c>
      <c r="F1328" s="2" t="s">
        <v>43</v>
      </c>
      <c r="G1328" s="2" t="s">
        <v>111</v>
      </c>
      <c r="H1328">
        <v>1</v>
      </c>
      <c r="I1328">
        <v>4</v>
      </c>
      <c r="J1328">
        <v>1205.51</v>
      </c>
      <c r="K1328">
        <v>0</v>
      </c>
      <c r="L1328">
        <v>760</v>
      </c>
      <c r="M1328">
        <v>4822.04</v>
      </c>
      <c r="N1328">
        <v>4822.04</v>
      </c>
      <c r="O1328">
        <v>3040</v>
      </c>
      <c r="P1328">
        <v>1782.04</v>
      </c>
    </row>
    <row r="1329" spans="1:16" x14ac:dyDescent="0.3">
      <c r="A1329" s="1">
        <v>45931</v>
      </c>
      <c r="B1329" s="2" t="s">
        <v>65</v>
      </c>
      <c r="C1329" s="2" t="s">
        <v>66</v>
      </c>
      <c r="D1329" s="2" t="s">
        <v>50</v>
      </c>
      <c r="E1329" s="2" t="s">
        <v>42</v>
      </c>
      <c r="F1329" s="2" t="s">
        <v>43</v>
      </c>
      <c r="G1329" s="2" t="s">
        <v>195</v>
      </c>
      <c r="H1329">
        <v>1</v>
      </c>
      <c r="I1329">
        <v>3</v>
      </c>
      <c r="J1329">
        <v>1184.22</v>
      </c>
      <c r="K1329">
        <v>0.12</v>
      </c>
      <c r="L1329">
        <v>760</v>
      </c>
      <c r="M1329">
        <v>3552.66</v>
      </c>
      <c r="N1329">
        <v>3126.3407999999999</v>
      </c>
      <c r="O1329">
        <v>2280</v>
      </c>
      <c r="P1329">
        <v>846.34079999999994</v>
      </c>
    </row>
    <row r="1330" spans="1:16" x14ac:dyDescent="0.3">
      <c r="A1330" s="1">
        <v>45931</v>
      </c>
      <c r="B1330" s="2" t="s">
        <v>83</v>
      </c>
      <c r="C1330" s="2" t="s">
        <v>84</v>
      </c>
      <c r="D1330" s="2" t="s">
        <v>41</v>
      </c>
      <c r="E1330" s="2" t="s">
        <v>47</v>
      </c>
      <c r="F1330" s="2" t="s">
        <v>43</v>
      </c>
      <c r="G1330" s="2" t="s">
        <v>222</v>
      </c>
      <c r="H1330">
        <v>1</v>
      </c>
      <c r="I1330">
        <v>4</v>
      </c>
      <c r="J1330">
        <v>844.87</v>
      </c>
      <c r="K1330">
        <v>0</v>
      </c>
      <c r="L1330">
        <v>520</v>
      </c>
      <c r="M1330">
        <v>3379.48</v>
      </c>
      <c r="N1330">
        <v>3379.48</v>
      </c>
      <c r="O1330">
        <v>2080</v>
      </c>
      <c r="P1330">
        <v>1299.48</v>
      </c>
    </row>
    <row r="1331" spans="1:16" x14ac:dyDescent="0.3">
      <c r="A1331" s="1">
        <v>45931</v>
      </c>
      <c r="B1331" s="2" t="s">
        <v>39</v>
      </c>
      <c r="C1331" s="2" t="s">
        <v>92</v>
      </c>
      <c r="D1331" s="2" t="s">
        <v>41</v>
      </c>
      <c r="E1331" s="2" t="s">
        <v>47</v>
      </c>
      <c r="F1331" s="2" t="s">
        <v>43</v>
      </c>
      <c r="G1331" s="2" t="s">
        <v>231</v>
      </c>
      <c r="H1331">
        <v>2</v>
      </c>
      <c r="I1331">
        <v>3</v>
      </c>
      <c r="J1331">
        <v>203.26999999999998</v>
      </c>
      <c r="K1331">
        <v>0</v>
      </c>
      <c r="L1331">
        <v>118</v>
      </c>
      <c r="M1331">
        <v>519.5</v>
      </c>
      <c r="N1331">
        <v>519.5</v>
      </c>
      <c r="O1331">
        <v>290</v>
      </c>
      <c r="P1331">
        <v>229.49999999999997</v>
      </c>
    </row>
    <row r="1332" spans="1:16" x14ac:dyDescent="0.3">
      <c r="A1332" s="1">
        <v>45931</v>
      </c>
      <c r="B1332" s="2" t="s">
        <v>75</v>
      </c>
      <c r="C1332" s="2" t="s">
        <v>106</v>
      </c>
      <c r="D1332" s="2" t="s">
        <v>41</v>
      </c>
      <c r="E1332" s="2" t="s">
        <v>42</v>
      </c>
      <c r="F1332" s="2" t="s">
        <v>48</v>
      </c>
      <c r="G1332" s="2" t="s">
        <v>132</v>
      </c>
      <c r="H1332">
        <v>1</v>
      </c>
      <c r="I1332">
        <v>1</v>
      </c>
      <c r="J1332">
        <v>95.64</v>
      </c>
      <c r="K1332">
        <v>0.05</v>
      </c>
      <c r="L1332">
        <v>39</v>
      </c>
      <c r="M1332">
        <v>95.64</v>
      </c>
      <c r="N1332">
        <v>90.85799999999999</v>
      </c>
      <c r="O1332">
        <v>39</v>
      </c>
      <c r="P1332">
        <v>51.85799999999999</v>
      </c>
    </row>
    <row r="1333" spans="1:16" x14ac:dyDescent="0.3">
      <c r="A1333" s="1">
        <v>45931</v>
      </c>
      <c r="B1333" s="2" t="s">
        <v>39</v>
      </c>
      <c r="C1333" s="2" t="s">
        <v>40</v>
      </c>
      <c r="D1333" s="2" t="s">
        <v>46</v>
      </c>
      <c r="E1333" s="2" t="s">
        <v>47</v>
      </c>
      <c r="F1333" s="2" t="s">
        <v>48</v>
      </c>
      <c r="G1333" s="2" t="s">
        <v>141</v>
      </c>
      <c r="H1333">
        <v>1</v>
      </c>
      <c r="I1333">
        <v>5</v>
      </c>
      <c r="J1333">
        <v>23.97</v>
      </c>
      <c r="K1333">
        <v>0.1</v>
      </c>
      <c r="L1333">
        <v>8</v>
      </c>
      <c r="M1333">
        <v>119.85</v>
      </c>
      <c r="N1333">
        <v>107.86499999999999</v>
      </c>
      <c r="O1333">
        <v>40</v>
      </c>
      <c r="P1333">
        <v>67.864999999999995</v>
      </c>
    </row>
    <row r="1334" spans="1:16" x14ac:dyDescent="0.3">
      <c r="A1334" s="1">
        <v>45931</v>
      </c>
      <c r="B1334" s="2" t="s">
        <v>39</v>
      </c>
      <c r="C1334" s="2" t="s">
        <v>40</v>
      </c>
      <c r="D1334" s="2" t="s">
        <v>46</v>
      </c>
      <c r="E1334" s="2" t="s">
        <v>47</v>
      </c>
      <c r="F1334" s="2" t="s">
        <v>43</v>
      </c>
      <c r="G1334" s="2" t="s">
        <v>141</v>
      </c>
      <c r="H1334">
        <v>1</v>
      </c>
      <c r="I1334">
        <v>1</v>
      </c>
      <c r="J1334">
        <v>298.73</v>
      </c>
      <c r="K1334">
        <v>0.08</v>
      </c>
      <c r="L1334">
        <v>182</v>
      </c>
      <c r="M1334">
        <v>298.73</v>
      </c>
      <c r="N1334">
        <v>274.83160000000004</v>
      </c>
      <c r="O1334">
        <v>182</v>
      </c>
      <c r="P1334">
        <v>92.831600000000037</v>
      </c>
    </row>
    <row r="1335" spans="1:16" x14ac:dyDescent="0.3">
      <c r="A1335" s="1">
        <v>45931</v>
      </c>
      <c r="B1335" s="2" t="s">
        <v>39</v>
      </c>
      <c r="C1335" s="2" t="s">
        <v>40</v>
      </c>
      <c r="D1335" s="2" t="s">
        <v>41</v>
      </c>
      <c r="E1335" s="2" t="s">
        <v>42</v>
      </c>
      <c r="F1335" s="2" t="s">
        <v>48</v>
      </c>
      <c r="G1335" s="2" t="s">
        <v>137</v>
      </c>
      <c r="H1335">
        <v>2</v>
      </c>
      <c r="I1335">
        <v>2</v>
      </c>
      <c r="J1335">
        <v>90.96</v>
      </c>
      <c r="K1335">
        <v>0</v>
      </c>
      <c r="L1335">
        <v>39</v>
      </c>
      <c r="M1335">
        <v>181.92</v>
      </c>
      <c r="N1335">
        <v>181.92</v>
      </c>
      <c r="O1335">
        <v>78</v>
      </c>
      <c r="P1335">
        <v>103.91999999999999</v>
      </c>
    </row>
    <row r="1336" spans="1:16" x14ac:dyDescent="0.3">
      <c r="A1336" s="1">
        <v>45931</v>
      </c>
      <c r="B1336" s="2" t="s">
        <v>39</v>
      </c>
      <c r="C1336" s="2" t="s">
        <v>40</v>
      </c>
      <c r="D1336" s="2" t="s">
        <v>41</v>
      </c>
      <c r="E1336" s="2" t="s">
        <v>42</v>
      </c>
      <c r="F1336" s="2" t="s">
        <v>43</v>
      </c>
      <c r="G1336" s="2" t="s">
        <v>137</v>
      </c>
      <c r="H1336">
        <v>1</v>
      </c>
      <c r="I1336">
        <v>1</v>
      </c>
      <c r="J1336">
        <v>834.39</v>
      </c>
      <c r="K1336">
        <v>0</v>
      </c>
      <c r="L1336">
        <v>520</v>
      </c>
      <c r="M1336">
        <v>834.39</v>
      </c>
      <c r="N1336">
        <v>834.39</v>
      </c>
      <c r="O1336">
        <v>520</v>
      </c>
      <c r="P1336">
        <v>314.39</v>
      </c>
    </row>
    <row r="1337" spans="1:16" x14ac:dyDescent="0.3">
      <c r="A1337" s="1">
        <v>45931</v>
      </c>
      <c r="B1337" s="2" t="s">
        <v>65</v>
      </c>
      <c r="C1337" s="2" t="s">
        <v>134</v>
      </c>
      <c r="D1337" s="2" t="s">
        <v>41</v>
      </c>
      <c r="E1337" s="2" t="s">
        <v>42</v>
      </c>
      <c r="F1337" s="2" t="s">
        <v>48</v>
      </c>
      <c r="G1337" s="2" t="s">
        <v>227</v>
      </c>
      <c r="H1337">
        <v>1</v>
      </c>
      <c r="I1337">
        <v>4</v>
      </c>
      <c r="J1337">
        <v>139.22999999999999</v>
      </c>
      <c r="K1337">
        <v>0</v>
      </c>
      <c r="L1337">
        <v>63</v>
      </c>
      <c r="M1337">
        <v>556.91999999999996</v>
      </c>
      <c r="N1337">
        <v>556.91999999999996</v>
      </c>
      <c r="O1337">
        <v>252</v>
      </c>
      <c r="P1337">
        <v>304.91999999999996</v>
      </c>
    </row>
    <row r="1338" spans="1:16" x14ac:dyDescent="0.3">
      <c r="A1338" s="1">
        <v>45931</v>
      </c>
      <c r="B1338" s="2" t="s">
        <v>56</v>
      </c>
      <c r="C1338" s="2" t="s">
        <v>57</v>
      </c>
      <c r="D1338" s="2" t="s">
        <v>50</v>
      </c>
      <c r="E1338" s="2" t="s">
        <v>47</v>
      </c>
      <c r="F1338" s="2" t="s">
        <v>43</v>
      </c>
      <c r="G1338" s="2" t="s">
        <v>150</v>
      </c>
      <c r="H1338">
        <v>1</v>
      </c>
      <c r="I1338">
        <v>4</v>
      </c>
      <c r="J1338">
        <v>832.46</v>
      </c>
      <c r="K1338">
        <v>0</v>
      </c>
      <c r="L1338">
        <v>520</v>
      </c>
      <c r="M1338">
        <v>3329.84</v>
      </c>
      <c r="N1338">
        <v>3329.84</v>
      </c>
      <c r="O1338">
        <v>2080</v>
      </c>
      <c r="P1338">
        <v>1249.8400000000001</v>
      </c>
    </row>
    <row r="1339" spans="1:16" x14ac:dyDescent="0.3">
      <c r="A1339" s="1">
        <v>45931</v>
      </c>
      <c r="B1339" s="2" t="s">
        <v>65</v>
      </c>
      <c r="C1339" s="2" t="s">
        <v>66</v>
      </c>
      <c r="D1339" s="2" t="s">
        <v>50</v>
      </c>
      <c r="E1339" s="2" t="s">
        <v>42</v>
      </c>
      <c r="F1339" s="2" t="s">
        <v>43</v>
      </c>
      <c r="G1339" s="2" t="s">
        <v>74</v>
      </c>
      <c r="H1339">
        <v>1</v>
      </c>
      <c r="I1339">
        <v>2</v>
      </c>
      <c r="J1339">
        <v>106.47</v>
      </c>
      <c r="K1339">
        <v>0.12</v>
      </c>
      <c r="L1339">
        <v>54</v>
      </c>
      <c r="M1339">
        <v>212.94</v>
      </c>
      <c r="N1339">
        <v>187.38720000000001</v>
      </c>
      <c r="O1339">
        <v>108</v>
      </c>
      <c r="P1339">
        <v>79.387200000000007</v>
      </c>
    </row>
    <row r="1340" spans="1:16" x14ac:dyDescent="0.3">
      <c r="A1340" s="1">
        <v>45992</v>
      </c>
      <c r="B1340" s="2" t="s">
        <v>39</v>
      </c>
      <c r="C1340" s="2" t="s">
        <v>40</v>
      </c>
      <c r="D1340" s="2" t="s">
        <v>46</v>
      </c>
      <c r="E1340" s="2" t="s">
        <v>42</v>
      </c>
      <c r="F1340" s="2" t="s">
        <v>43</v>
      </c>
      <c r="G1340" s="2" t="s">
        <v>82</v>
      </c>
      <c r="H1340">
        <v>2</v>
      </c>
      <c r="I1340">
        <v>4</v>
      </c>
      <c r="J1340">
        <v>671.78499999999997</v>
      </c>
      <c r="K1340">
        <v>7.5000000000000011E-2</v>
      </c>
      <c r="L1340">
        <v>423</v>
      </c>
      <c r="M1340">
        <v>3670.21</v>
      </c>
      <c r="N1340">
        <v>3312.2015000000001</v>
      </c>
      <c r="O1340">
        <v>2366</v>
      </c>
      <c r="P1340">
        <v>946.2014999999999</v>
      </c>
    </row>
    <row r="1341" spans="1:16" x14ac:dyDescent="0.3">
      <c r="A1341" s="1">
        <v>45992</v>
      </c>
      <c r="B1341" s="2" t="s">
        <v>39</v>
      </c>
      <c r="C1341" s="2" t="s">
        <v>40</v>
      </c>
      <c r="D1341" s="2" t="s">
        <v>46</v>
      </c>
      <c r="E1341" s="2" t="s">
        <v>42</v>
      </c>
      <c r="F1341" s="2" t="s">
        <v>48</v>
      </c>
      <c r="G1341" s="2" t="s">
        <v>82</v>
      </c>
      <c r="H1341">
        <v>1</v>
      </c>
      <c r="I1341">
        <v>2</v>
      </c>
      <c r="J1341">
        <v>96.6</v>
      </c>
      <c r="K1341">
        <v>0.12</v>
      </c>
      <c r="L1341">
        <v>39</v>
      </c>
      <c r="M1341">
        <v>193.2</v>
      </c>
      <c r="N1341">
        <v>170.01599999999999</v>
      </c>
      <c r="O1341">
        <v>78</v>
      </c>
      <c r="P1341">
        <v>92.015999999999991</v>
      </c>
    </row>
    <row r="1342" spans="1:16" x14ac:dyDescent="0.3">
      <c r="A1342" s="1">
        <v>45931</v>
      </c>
      <c r="B1342" s="2" t="s">
        <v>39</v>
      </c>
      <c r="C1342" s="2" t="s">
        <v>45</v>
      </c>
      <c r="D1342" s="2" t="s">
        <v>41</v>
      </c>
      <c r="E1342" s="2" t="s">
        <v>51</v>
      </c>
      <c r="F1342" s="2" t="s">
        <v>48</v>
      </c>
      <c r="G1342" s="2" t="s">
        <v>183</v>
      </c>
      <c r="H1342">
        <v>1</v>
      </c>
      <c r="I1342">
        <v>21</v>
      </c>
      <c r="J1342">
        <v>66.290000000000006</v>
      </c>
      <c r="K1342">
        <v>0</v>
      </c>
      <c r="L1342">
        <v>31</v>
      </c>
      <c r="M1342">
        <v>1392.0900000000001</v>
      </c>
      <c r="N1342">
        <v>1392.0900000000001</v>
      </c>
      <c r="O1342">
        <v>651</v>
      </c>
      <c r="P1342">
        <v>741.09000000000015</v>
      </c>
    </row>
    <row r="1343" spans="1:16" x14ac:dyDescent="0.3">
      <c r="A1343" s="1">
        <v>45931</v>
      </c>
      <c r="B1343" s="2" t="s">
        <v>83</v>
      </c>
      <c r="C1343" s="2" t="s">
        <v>84</v>
      </c>
      <c r="D1343" s="2" t="s">
        <v>41</v>
      </c>
      <c r="E1343" s="2" t="s">
        <v>47</v>
      </c>
      <c r="F1343" s="2" t="s">
        <v>48</v>
      </c>
      <c r="G1343" s="2" t="s">
        <v>202</v>
      </c>
      <c r="H1343">
        <v>2</v>
      </c>
      <c r="I1343">
        <v>9</v>
      </c>
      <c r="J1343">
        <v>104.92</v>
      </c>
      <c r="K1343">
        <v>0</v>
      </c>
      <c r="L1343">
        <v>47</v>
      </c>
      <c r="M1343">
        <v>975.61</v>
      </c>
      <c r="N1343">
        <v>975.61</v>
      </c>
      <c r="O1343">
        <v>439</v>
      </c>
      <c r="P1343">
        <v>536.61</v>
      </c>
    </row>
    <row r="1344" spans="1:16" x14ac:dyDescent="0.3">
      <c r="A1344" s="1">
        <v>45931</v>
      </c>
      <c r="B1344" s="2" t="s">
        <v>39</v>
      </c>
      <c r="C1344" s="2" t="s">
        <v>92</v>
      </c>
      <c r="D1344" s="2" t="s">
        <v>50</v>
      </c>
      <c r="E1344" s="2" t="s">
        <v>42</v>
      </c>
      <c r="F1344" s="2" t="s">
        <v>52</v>
      </c>
      <c r="G1344" s="2" t="s">
        <v>110</v>
      </c>
      <c r="H1344">
        <v>1</v>
      </c>
      <c r="I1344">
        <v>2</v>
      </c>
      <c r="J1344">
        <v>204.29</v>
      </c>
      <c r="K1344">
        <v>0</v>
      </c>
      <c r="L1344">
        <v>124</v>
      </c>
      <c r="M1344">
        <v>408.58</v>
      </c>
      <c r="N1344">
        <v>408.58</v>
      </c>
      <c r="O1344">
        <v>248</v>
      </c>
      <c r="P1344">
        <v>160.57999999999998</v>
      </c>
    </row>
    <row r="1345" spans="1:16" x14ac:dyDescent="0.3">
      <c r="A1345" s="1">
        <v>45931</v>
      </c>
      <c r="B1345" s="2" t="s">
        <v>39</v>
      </c>
      <c r="C1345" s="2" t="s">
        <v>40</v>
      </c>
      <c r="D1345" s="2" t="s">
        <v>41</v>
      </c>
      <c r="E1345" s="2" t="s">
        <v>47</v>
      </c>
      <c r="F1345" s="2" t="s">
        <v>48</v>
      </c>
      <c r="G1345" s="2" t="s">
        <v>159</v>
      </c>
      <c r="H1345">
        <v>1</v>
      </c>
      <c r="I1345">
        <v>3</v>
      </c>
      <c r="J1345">
        <v>76.64</v>
      </c>
      <c r="K1345">
        <v>0</v>
      </c>
      <c r="L1345">
        <v>31</v>
      </c>
      <c r="M1345">
        <v>229.92000000000002</v>
      </c>
      <c r="N1345">
        <v>229.92000000000002</v>
      </c>
      <c r="O1345">
        <v>93</v>
      </c>
      <c r="P1345">
        <v>136.92000000000002</v>
      </c>
    </row>
    <row r="1346" spans="1:16" x14ac:dyDescent="0.3">
      <c r="A1346" s="1">
        <v>45931</v>
      </c>
      <c r="B1346" s="2" t="s">
        <v>39</v>
      </c>
      <c r="C1346" s="2" t="s">
        <v>88</v>
      </c>
      <c r="D1346" s="2" t="s">
        <v>50</v>
      </c>
      <c r="E1346" s="2" t="s">
        <v>42</v>
      </c>
      <c r="F1346" s="2" t="s">
        <v>48</v>
      </c>
      <c r="G1346" s="2" t="s">
        <v>133</v>
      </c>
      <c r="H1346">
        <v>1</v>
      </c>
      <c r="I1346">
        <v>3</v>
      </c>
      <c r="J1346">
        <v>132.02000000000001</v>
      </c>
      <c r="K1346">
        <v>0.12</v>
      </c>
      <c r="L1346">
        <v>63</v>
      </c>
      <c r="M1346">
        <v>396.06000000000006</v>
      </c>
      <c r="N1346">
        <v>348.53280000000007</v>
      </c>
      <c r="O1346">
        <v>189</v>
      </c>
      <c r="P1346">
        <v>159.53280000000007</v>
      </c>
    </row>
    <row r="1347" spans="1:16" x14ac:dyDescent="0.3">
      <c r="A1347" s="1">
        <v>45931</v>
      </c>
      <c r="B1347" s="2" t="s">
        <v>39</v>
      </c>
      <c r="C1347" s="2" t="s">
        <v>88</v>
      </c>
      <c r="D1347" s="2" t="s">
        <v>50</v>
      </c>
      <c r="E1347" s="2" t="s">
        <v>42</v>
      </c>
      <c r="F1347" s="2" t="s">
        <v>52</v>
      </c>
      <c r="G1347" s="2" t="s">
        <v>133</v>
      </c>
      <c r="H1347">
        <v>1</v>
      </c>
      <c r="I1347">
        <v>2</v>
      </c>
      <c r="J1347">
        <v>215.82</v>
      </c>
      <c r="K1347">
        <v>0.05</v>
      </c>
      <c r="L1347">
        <v>124</v>
      </c>
      <c r="M1347">
        <v>431.64</v>
      </c>
      <c r="N1347">
        <v>410.05799999999999</v>
      </c>
      <c r="O1347">
        <v>248</v>
      </c>
      <c r="P1347">
        <v>162.05799999999999</v>
      </c>
    </row>
    <row r="1348" spans="1:16" x14ac:dyDescent="0.3">
      <c r="A1348" s="1">
        <v>45931</v>
      </c>
      <c r="B1348" s="2" t="s">
        <v>56</v>
      </c>
      <c r="C1348" s="2" t="s">
        <v>72</v>
      </c>
      <c r="D1348" s="2" t="s">
        <v>41</v>
      </c>
      <c r="E1348" s="2" t="s">
        <v>42</v>
      </c>
      <c r="F1348" s="2" t="s">
        <v>43</v>
      </c>
      <c r="G1348" s="2" t="s">
        <v>179</v>
      </c>
      <c r="H1348">
        <v>2</v>
      </c>
      <c r="I1348">
        <v>4</v>
      </c>
      <c r="J1348">
        <v>510.315</v>
      </c>
      <c r="K1348">
        <v>2.5000000000000001E-2</v>
      </c>
      <c r="L1348">
        <v>303</v>
      </c>
      <c r="M1348">
        <v>2041.26</v>
      </c>
      <c r="N1348">
        <v>2023.7269999999999</v>
      </c>
      <c r="O1348">
        <v>1212</v>
      </c>
      <c r="P1348">
        <v>811.72699999999986</v>
      </c>
    </row>
    <row r="1349" spans="1:16" x14ac:dyDescent="0.3">
      <c r="A1349" s="1">
        <v>45931</v>
      </c>
      <c r="B1349" s="2" t="s">
        <v>39</v>
      </c>
      <c r="C1349" s="2" t="s">
        <v>45</v>
      </c>
      <c r="D1349" s="2" t="s">
        <v>41</v>
      </c>
      <c r="E1349" s="2" t="s">
        <v>42</v>
      </c>
      <c r="F1349" s="2" t="s">
        <v>48</v>
      </c>
      <c r="G1349" s="2" t="s">
        <v>87</v>
      </c>
      <c r="H1349">
        <v>3</v>
      </c>
      <c r="I1349">
        <v>6</v>
      </c>
      <c r="J1349">
        <v>85.513333333333335</v>
      </c>
      <c r="K1349">
        <v>0</v>
      </c>
      <c r="L1349">
        <v>36.333333333333336</v>
      </c>
      <c r="M1349">
        <v>513.07999999999993</v>
      </c>
      <c r="N1349">
        <v>513.07999999999993</v>
      </c>
      <c r="O1349">
        <v>218</v>
      </c>
      <c r="P1349">
        <v>295.08000000000004</v>
      </c>
    </row>
    <row r="1350" spans="1:16" x14ac:dyDescent="0.3">
      <c r="A1350" s="1">
        <v>45931</v>
      </c>
      <c r="B1350" s="2" t="s">
        <v>56</v>
      </c>
      <c r="C1350" s="2" t="s">
        <v>57</v>
      </c>
      <c r="D1350" s="2" t="s">
        <v>46</v>
      </c>
      <c r="E1350" s="2" t="s">
        <v>42</v>
      </c>
      <c r="F1350" s="2" t="s">
        <v>52</v>
      </c>
      <c r="G1350" s="2" t="s">
        <v>112</v>
      </c>
      <c r="H1350">
        <v>1</v>
      </c>
      <c r="I1350">
        <v>2</v>
      </c>
      <c r="J1350">
        <v>205.01</v>
      </c>
      <c r="K1350">
        <v>0.12</v>
      </c>
      <c r="L1350">
        <v>124</v>
      </c>
      <c r="M1350">
        <v>410.02</v>
      </c>
      <c r="N1350">
        <v>360.81759999999997</v>
      </c>
      <c r="O1350">
        <v>248</v>
      </c>
      <c r="P1350">
        <v>112.81759999999997</v>
      </c>
    </row>
    <row r="1351" spans="1:16" x14ac:dyDescent="0.3">
      <c r="A1351" s="1">
        <v>45931</v>
      </c>
      <c r="B1351" s="2" t="s">
        <v>39</v>
      </c>
      <c r="C1351" s="2" t="s">
        <v>45</v>
      </c>
      <c r="D1351" s="2" t="s">
        <v>50</v>
      </c>
      <c r="E1351" s="2" t="s">
        <v>42</v>
      </c>
      <c r="F1351" s="2" t="s">
        <v>43</v>
      </c>
      <c r="G1351" s="2" t="s">
        <v>53</v>
      </c>
      <c r="H1351">
        <v>1</v>
      </c>
      <c r="I1351">
        <v>2</v>
      </c>
      <c r="J1351">
        <v>1178.8900000000001</v>
      </c>
      <c r="K1351">
        <v>0.1</v>
      </c>
      <c r="L1351">
        <v>760</v>
      </c>
      <c r="M1351">
        <v>2357.7800000000002</v>
      </c>
      <c r="N1351">
        <v>2122.0020000000004</v>
      </c>
      <c r="O1351">
        <v>1520</v>
      </c>
      <c r="P1351">
        <v>602.00200000000041</v>
      </c>
    </row>
    <row r="1352" spans="1:16" x14ac:dyDescent="0.3">
      <c r="A1352" s="1">
        <v>45931</v>
      </c>
      <c r="B1352" s="2" t="s">
        <v>39</v>
      </c>
      <c r="C1352" s="2" t="s">
        <v>88</v>
      </c>
      <c r="D1352" s="2" t="s">
        <v>50</v>
      </c>
      <c r="E1352" s="2" t="s">
        <v>47</v>
      </c>
      <c r="F1352" s="2" t="s">
        <v>43</v>
      </c>
      <c r="G1352" s="2" t="s">
        <v>89</v>
      </c>
      <c r="H1352">
        <v>2</v>
      </c>
      <c r="I1352">
        <v>3</v>
      </c>
      <c r="J1352">
        <v>1029.96</v>
      </c>
      <c r="K1352">
        <v>7.5000000000000011E-2</v>
      </c>
      <c r="L1352">
        <v>640</v>
      </c>
      <c r="M1352">
        <v>3241.8</v>
      </c>
      <c r="N1352">
        <v>2961.5220000000004</v>
      </c>
      <c r="O1352">
        <v>2040</v>
      </c>
      <c r="P1352">
        <v>921.52200000000039</v>
      </c>
    </row>
    <row r="1353" spans="1:16" x14ac:dyDescent="0.3">
      <c r="A1353" s="1">
        <v>45931</v>
      </c>
      <c r="B1353" s="2" t="s">
        <v>39</v>
      </c>
      <c r="C1353" s="2" t="s">
        <v>88</v>
      </c>
      <c r="D1353" s="2" t="s">
        <v>50</v>
      </c>
      <c r="E1353" s="2" t="s">
        <v>47</v>
      </c>
      <c r="F1353" s="2" t="s">
        <v>52</v>
      </c>
      <c r="G1353" s="2" t="s">
        <v>89</v>
      </c>
      <c r="H1353">
        <v>1</v>
      </c>
      <c r="I1353">
        <v>3</v>
      </c>
      <c r="J1353">
        <v>43.71</v>
      </c>
      <c r="K1353">
        <v>0</v>
      </c>
      <c r="L1353">
        <v>18</v>
      </c>
      <c r="M1353">
        <v>131.13</v>
      </c>
      <c r="N1353">
        <v>131.13</v>
      </c>
      <c r="O1353">
        <v>54</v>
      </c>
      <c r="P1353">
        <v>77.13</v>
      </c>
    </row>
    <row r="1354" spans="1:16" x14ac:dyDescent="0.3">
      <c r="A1354" s="1">
        <v>45931</v>
      </c>
      <c r="B1354" s="2" t="s">
        <v>39</v>
      </c>
      <c r="C1354" s="2" t="s">
        <v>88</v>
      </c>
      <c r="D1354" s="2" t="s">
        <v>50</v>
      </c>
      <c r="E1354" s="2" t="s">
        <v>47</v>
      </c>
      <c r="F1354" s="2" t="s">
        <v>48</v>
      </c>
      <c r="G1354" s="2" t="s">
        <v>89</v>
      </c>
      <c r="H1354">
        <v>1</v>
      </c>
      <c r="I1354">
        <v>1</v>
      </c>
      <c r="J1354">
        <v>76.86</v>
      </c>
      <c r="K1354">
        <v>0.1</v>
      </c>
      <c r="L1354">
        <v>31</v>
      </c>
      <c r="M1354">
        <v>76.86</v>
      </c>
      <c r="N1354">
        <v>69.174000000000007</v>
      </c>
      <c r="O1354">
        <v>31</v>
      </c>
      <c r="P1354">
        <v>38.174000000000007</v>
      </c>
    </row>
    <row r="1355" spans="1:16" x14ac:dyDescent="0.3">
      <c r="A1355" s="1">
        <v>45931</v>
      </c>
      <c r="B1355" s="2" t="s">
        <v>39</v>
      </c>
      <c r="C1355" s="2" t="s">
        <v>88</v>
      </c>
      <c r="D1355" s="2" t="s">
        <v>46</v>
      </c>
      <c r="E1355" s="2" t="s">
        <v>51</v>
      </c>
      <c r="F1355" s="2" t="s">
        <v>48</v>
      </c>
      <c r="G1355" s="2" t="s">
        <v>105</v>
      </c>
      <c r="H1355">
        <v>2</v>
      </c>
      <c r="I1355">
        <v>26</v>
      </c>
      <c r="J1355">
        <v>107.455</v>
      </c>
      <c r="K1355">
        <v>0.11</v>
      </c>
      <c r="L1355">
        <v>51</v>
      </c>
      <c r="M1355">
        <v>2874.89</v>
      </c>
      <c r="N1355">
        <v>2568.2192</v>
      </c>
      <c r="O1355">
        <v>1374</v>
      </c>
      <c r="P1355">
        <v>1194.2192</v>
      </c>
    </row>
    <row r="1356" spans="1:16" x14ac:dyDescent="0.3">
      <c r="A1356" s="1">
        <v>45931</v>
      </c>
      <c r="B1356" s="2" t="s">
        <v>39</v>
      </c>
      <c r="C1356" s="2" t="s">
        <v>92</v>
      </c>
      <c r="D1356" s="2" t="s">
        <v>41</v>
      </c>
      <c r="E1356" s="2" t="s">
        <v>42</v>
      </c>
      <c r="F1356" s="2" t="s">
        <v>43</v>
      </c>
      <c r="G1356" s="2" t="s">
        <v>196</v>
      </c>
      <c r="H1356">
        <v>1</v>
      </c>
      <c r="I1356">
        <v>1</v>
      </c>
      <c r="J1356">
        <v>640.02</v>
      </c>
      <c r="K1356">
        <v>0</v>
      </c>
      <c r="L1356">
        <v>395</v>
      </c>
      <c r="M1356">
        <v>640.02</v>
      </c>
      <c r="N1356">
        <v>640.02</v>
      </c>
      <c r="O1356">
        <v>395</v>
      </c>
      <c r="P1356">
        <v>245.01999999999998</v>
      </c>
    </row>
    <row r="1357" spans="1:16" x14ac:dyDescent="0.3">
      <c r="A1357" s="1">
        <v>45931</v>
      </c>
      <c r="B1357" s="2" t="s">
        <v>65</v>
      </c>
      <c r="C1357" s="2" t="s">
        <v>80</v>
      </c>
      <c r="D1357" s="2" t="s">
        <v>50</v>
      </c>
      <c r="E1357" s="2" t="s">
        <v>42</v>
      </c>
      <c r="F1357" s="2" t="s">
        <v>43</v>
      </c>
      <c r="G1357" s="2" t="s">
        <v>233</v>
      </c>
      <c r="H1357">
        <v>1</v>
      </c>
      <c r="I1357">
        <v>1</v>
      </c>
      <c r="J1357">
        <v>592.16</v>
      </c>
      <c r="K1357">
        <v>0.08</v>
      </c>
      <c r="L1357">
        <v>395</v>
      </c>
      <c r="M1357">
        <v>592.16</v>
      </c>
      <c r="N1357">
        <v>544.78719999999998</v>
      </c>
      <c r="O1357">
        <v>395</v>
      </c>
      <c r="P1357">
        <v>149.78719999999998</v>
      </c>
    </row>
    <row r="1358" spans="1:16" x14ac:dyDescent="0.3">
      <c r="A1358" s="1">
        <v>45931</v>
      </c>
      <c r="B1358" s="2" t="s">
        <v>83</v>
      </c>
      <c r="C1358" s="2" t="s">
        <v>84</v>
      </c>
      <c r="D1358" s="2" t="s">
        <v>46</v>
      </c>
      <c r="E1358" s="2" t="s">
        <v>42</v>
      </c>
      <c r="F1358" s="2" t="s">
        <v>52</v>
      </c>
      <c r="G1358" s="2" t="s">
        <v>90</v>
      </c>
      <c r="H1358">
        <v>1</v>
      </c>
      <c r="I1358">
        <v>3</v>
      </c>
      <c r="J1358">
        <v>43.31</v>
      </c>
      <c r="K1358">
        <v>0.15</v>
      </c>
      <c r="L1358">
        <v>18</v>
      </c>
      <c r="M1358">
        <v>129.93</v>
      </c>
      <c r="N1358">
        <v>110.4405</v>
      </c>
      <c r="O1358">
        <v>54</v>
      </c>
      <c r="P1358">
        <v>56.4405</v>
      </c>
    </row>
    <row r="1359" spans="1:16" x14ac:dyDescent="0.3">
      <c r="A1359" s="1">
        <v>45931</v>
      </c>
      <c r="B1359" s="2" t="s">
        <v>65</v>
      </c>
      <c r="C1359" s="2" t="s">
        <v>80</v>
      </c>
      <c r="D1359" s="2" t="s">
        <v>46</v>
      </c>
      <c r="E1359" s="2" t="s">
        <v>47</v>
      </c>
      <c r="F1359" s="2" t="s">
        <v>43</v>
      </c>
      <c r="G1359" s="2" t="s">
        <v>213</v>
      </c>
      <c r="H1359">
        <v>1</v>
      </c>
      <c r="I1359">
        <v>3</v>
      </c>
      <c r="J1359">
        <v>1191.6099999999999</v>
      </c>
      <c r="K1359">
        <v>0.08</v>
      </c>
      <c r="L1359">
        <v>760</v>
      </c>
      <c r="M1359">
        <v>3574.83</v>
      </c>
      <c r="N1359">
        <v>3288.8436000000002</v>
      </c>
      <c r="O1359">
        <v>2280</v>
      </c>
      <c r="P1359">
        <v>1008.8436000000002</v>
      </c>
    </row>
    <row r="1360" spans="1:16" x14ac:dyDescent="0.3">
      <c r="A1360" s="1">
        <v>45931</v>
      </c>
      <c r="B1360" s="2" t="s">
        <v>65</v>
      </c>
      <c r="C1360" s="2" t="s">
        <v>80</v>
      </c>
      <c r="D1360" s="2" t="s">
        <v>46</v>
      </c>
      <c r="E1360" s="2" t="s">
        <v>47</v>
      </c>
      <c r="F1360" s="2" t="s">
        <v>48</v>
      </c>
      <c r="G1360" s="2" t="s">
        <v>213</v>
      </c>
      <c r="H1360">
        <v>1</v>
      </c>
      <c r="I1360">
        <v>6</v>
      </c>
      <c r="J1360">
        <v>140.38</v>
      </c>
      <c r="K1360">
        <v>0.15</v>
      </c>
      <c r="L1360">
        <v>63</v>
      </c>
      <c r="M1360">
        <v>842.28</v>
      </c>
      <c r="N1360">
        <v>715.93799999999999</v>
      </c>
      <c r="O1360">
        <v>378</v>
      </c>
      <c r="P1360">
        <v>337.93799999999999</v>
      </c>
    </row>
    <row r="1361" spans="1:16" x14ac:dyDescent="0.3">
      <c r="A1361" s="1">
        <v>45931</v>
      </c>
      <c r="B1361" s="2" t="s">
        <v>39</v>
      </c>
      <c r="C1361" s="2" t="s">
        <v>88</v>
      </c>
      <c r="D1361" s="2" t="s">
        <v>95</v>
      </c>
      <c r="E1361" s="2" t="s">
        <v>42</v>
      </c>
      <c r="F1361" s="2" t="s">
        <v>48</v>
      </c>
      <c r="G1361" s="2" t="s">
        <v>204</v>
      </c>
      <c r="H1361">
        <v>1</v>
      </c>
      <c r="I1361">
        <v>3</v>
      </c>
      <c r="J1361">
        <v>90.65</v>
      </c>
      <c r="K1361">
        <v>0.12</v>
      </c>
      <c r="L1361">
        <v>39</v>
      </c>
      <c r="M1361">
        <v>271.95000000000005</v>
      </c>
      <c r="N1361">
        <v>239.31600000000003</v>
      </c>
      <c r="O1361">
        <v>117</v>
      </c>
      <c r="P1361">
        <v>122.31600000000003</v>
      </c>
    </row>
    <row r="1362" spans="1:16" x14ac:dyDescent="0.3">
      <c r="A1362" s="1">
        <v>45931</v>
      </c>
      <c r="B1362" s="2" t="s">
        <v>39</v>
      </c>
      <c r="C1362" s="2" t="s">
        <v>88</v>
      </c>
      <c r="D1362" s="2" t="s">
        <v>95</v>
      </c>
      <c r="E1362" s="2" t="s">
        <v>42</v>
      </c>
      <c r="F1362" s="2" t="s">
        <v>52</v>
      </c>
      <c r="G1362" s="2" t="s">
        <v>204</v>
      </c>
      <c r="H1362">
        <v>2</v>
      </c>
      <c r="I1362">
        <v>4</v>
      </c>
      <c r="J1362">
        <v>206.53</v>
      </c>
      <c r="K1362">
        <v>8.4999999999999992E-2</v>
      </c>
      <c r="L1362">
        <v>124</v>
      </c>
      <c r="M1362">
        <v>830.24</v>
      </c>
      <c r="N1362">
        <v>744.92409999999995</v>
      </c>
      <c r="O1362">
        <v>496</v>
      </c>
      <c r="P1362">
        <v>248.92409999999998</v>
      </c>
    </row>
    <row r="1363" spans="1:16" x14ac:dyDescent="0.3">
      <c r="A1363" s="1">
        <v>45931</v>
      </c>
      <c r="B1363" s="2" t="s">
        <v>39</v>
      </c>
      <c r="C1363" s="2" t="s">
        <v>92</v>
      </c>
      <c r="D1363" s="2" t="s">
        <v>50</v>
      </c>
      <c r="E1363" s="2" t="s">
        <v>42</v>
      </c>
      <c r="F1363" s="2" t="s">
        <v>43</v>
      </c>
      <c r="G1363" s="2" t="s">
        <v>97</v>
      </c>
      <c r="H1363">
        <v>1</v>
      </c>
      <c r="I1363">
        <v>2</v>
      </c>
      <c r="J1363">
        <v>289.27999999999997</v>
      </c>
      <c r="K1363">
        <v>0.1</v>
      </c>
      <c r="L1363">
        <v>182</v>
      </c>
      <c r="M1363">
        <v>578.55999999999995</v>
      </c>
      <c r="N1363">
        <v>520.70399999999995</v>
      </c>
      <c r="O1363">
        <v>364</v>
      </c>
      <c r="P1363">
        <v>156.70399999999995</v>
      </c>
    </row>
    <row r="1364" spans="1:16" x14ac:dyDescent="0.3">
      <c r="A1364" s="1">
        <v>45931</v>
      </c>
      <c r="B1364" s="2" t="s">
        <v>39</v>
      </c>
      <c r="C1364" s="2" t="s">
        <v>88</v>
      </c>
      <c r="D1364" s="2" t="s">
        <v>41</v>
      </c>
      <c r="E1364" s="2" t="s">
        <v>47</v>
      </c>
      <c r="F1364" s="2" t="s">
        <v>48</v>
      </c>
      <c r="G1364" s="2" t="s">
        <v>154</v>
      </c>
      <c r="H1364">
        <v>1</v>
      </c>
      <c r="I1364">
        <v>3</v>
      </c>
      <c r="J1364">
        <v>75.2</v>
      </c>
      <c r="K1364">
        <v>0.05</v>
      </c>
      <c r="L1364">
        <v>31</v>
      </c>
      <c r="M1364">
        <v>225.60000000000002</v>
      </c>
      <c r="N1364">
        <v>214.32000000000002</v>
      </c>
      <c r="O1364">
        <v>93</v>
      </c>
      <c r="P1364">
        <v>121.32000000000002</v>
      </c>
    </row>
    <row r="1365" spans="1:16" x14ac:dyDescent="0.3">
      <c r="A1365" s="1">
        <v>45931</v>
      </c>
      <c r="B1365" s="2" t="s">
        <v>39</v>
      </c>
      <c r="C1365" s="2" t="s">
        <v>40</v>
      </c>
      <c r="D1365" s="2" t="s">
        <v>50</v>
      </c>
      <c r="E1365" s="2" t="s">
        <v>42</v>
      </c>
      <c r="F1365" s="2" t="s">
        <v>43</v>
      </c>
      <c r="G1365" s="2" t="s">
        <v>205</v>
      </c>
      <c r="H1365">
        <v>1</v>
      </c>
      <c r="I1365">
        <v>2</v>
      </c>
      <c r="J1365">
        <v>813.57</v>
      </c>
      <c r="K1365">
        <v>0.1</v>
      </c>
      <c r="L1365">
        <v>520</v>
      </c>
      <c r="M1365">
        <v>1627.14</v>
      </c>
      <c r="N1365">
        <v>1464.4260000000002</v>
      </c>
      <c r="O1365">
        <v>1040</v>
      </c>
      <c r="P1365">
        <v>424.42600000000016</v>
      </c>
    </row>
    <row r="1366" spans="1:16" x14ac:dyDescent="0.3">
      <c r="A1366" s="1">
        <v>45931</v>
      </c>
      <c r="B1366" s="2" t="s">
        <v>65</v>
      </c>
      <c r="C1366" s="2" t="s">
        <v>134</v>
      </c>
      <c r="D1366" s="2" t="s">
        <v>41</v>
      </c>
      <c r="E1366" s="2" t="s">
        <v>47</v>
      </c>
      <c r="F1366" s="2" t="s">
        <v>52</v>
      </c>
      <c r="G1366" s="2" t="s">
        <v>227</v>
      </c>
      <c r="H1366">
        <v>1</v>
      </c>
      <c r="I1366">
        <v>4</v>
      </c>
      <c r="J1366">
        <v>43.59</v>
      </c>
      <c r="K1366">
        <v>0</v>
      </c>
      <c r="L1366">
        <v>18</v>
      </c>
      <c r="M1366">
        <v>174.36</v>
      </c>
      <c r="N1366">
        <v>174.36</v>
      </c>
      <c r="O1366">
        <v>72</v>
      </c>
      <c r="P1366">
        <v>102.36000000000001</v>
      </c>
    </row>
    <row r="1367" spans="1:16" x14ac:dyDescent="0.3">
      <c r="A1367" s="1">
        <v>45931</v>
      </c>
      <c r="B1367" s="2" t="s">
        <v>39</v>
      </c>
      <c r="C1367" s="2" t="s">
        <v>40</v>
      </c>
      <c r="D1367" s="2" t="s">
        <v>41</v>
      </c>
      <c r="E1367" s="2" t="s">
        <v>42</v>
      </c>
      <c r="F1367" s="2" t="s">
        <v>52</v>
      </c>
      <c r="G1367" s="2" t="s">
        <v>64</v>
      </c>
      <c r="H1367">
        <v>1</v>
      </c>
      <c r="I1367">
        <v>3</v>
      </c>
      <c r="J1367">
        <v>44.19</v>
      </c>
      <c r="K1367">
        <v>0.05</v>
      </c>
      <c r="L1367">
        <v>18</v>
      </c>
      <c r="M1367">
        <v>132.57</v>
      </c>
      <c r="N1367">
        <v>125.94149999999999</v>
      </c>
      <c r="O1367">
        <v>54</v>
      </c>
      <c r="P1367">
        <v>71.941499999999991</v>
      </c>
    </row>
    <row r="1368" spans="1:16" x14ac:dyDescent="0.3">
      <c r="A1368" s="1">
        <v>45931</v>
      </c>
      <c r="B1368" s="2" t="s">
        <v>56</v>
      </c>
      <c r="C1368" s="2" t="s">
        <v>57</v>
      </c>
      <c r="D1368" s="2" t="s">
        <v>50</v>
      </c>
      <c r="E1368" s="2" t="s">
        <v>47</v>
      </c>
      <c r="F1368" s="2" t="s">
        <v>52</v>
      </c>
      <c r="G1368" s="2" t="s">
        <v>160</v>
      </c>
      <c r="H1368">
        <v>1</v>
      </c>
      <c r="I1368">
        <v>4</v>
      </c>
      <c r="J1368">
        <v>45.4</v>
      </c>
      <c r="K1368">
        <v>0</v>
      </c>
      <c r="L1368">
        <v>18</v>
      </c>
      <c r="M1368">
        <v>181.6</v>
      </c>
      <c r="N1368">
        <v>181.6</v>
      </c>
      <c r="O1368">
        <v>72</v>
      </c>
      <c r="P1368">
        <v>109.6</v>
      </c>
    </row>
    <row r="1369" spans="1:16" x14ac:dyDescent="0.3">
      <c r="A1369" s="1">
        <v>45931</v>
      </c>
      <c r="B1369" s="2" t="s">
        <v>39</v>
      </c>
      <c r="C1369" s="2" t="s">
        <v>40</v>
      </c>
      <c r="D1369" s="2" t="s">
        <v>50</v>
      </c>
      <c r="E1369" s="2" t="s">
        <v>42</v>
      </c>
      <c r="F1369" s="2" t="s">
        <v>43</v>
      </c>
      <c r="G1369" s="2" t="s">
        <v>214</v>
      </c>
      <c r="H1369">
        <v>2</v>
      </c>
      <c r="I1369">
        <v>4</v>
      </c>
      <c r="J1369">
        <v>729.93</v>
      </c>
      <c r="K1369">
        <v>0.04</v>
      </c>
      <c r="L1369">
        <v>471</v>
      </c>
      <c r="M1369">
        <v>2025.36</v>
      </c>
      <c r="N1369">
        <v>1957.5</v>
      </c>
      <c r="O1369">
        <v>1306</v>
      </c>
      <c r="P1369">
        <v>651.49999999999989</v>
      </c>
    </row>
    <row r="1370" spans="1:16" x14ac:dyDescent="0.3">
      <c r="A1370" s="1">
        <v>45931</v>
      </c>
      <c r="B1370" s="2" t="s">
        <v>39</v>
      </c>
      <c r="C1370" s="2" t="s">
        <v>40</v>
      </c>
      <c r="D1370" s="2" t="s">
        <v>50</v>
      </c>
      <c r="E1370" s="2" t="s">
        <v>42</v>
      </c>
      <c r="F1370" s="2" t="s">
        <v>48</v>
      </c>
      <c r="G1370" s="2" t="s">
        <v>214</v>
      </c>
      <c r="H1370">
        <v>1</v>
      </c>
      <c r="I1370">
        <v>4</v>
      </c>
      <c r="J1370">
        <v>140</v>
      </c>
      <c r="K1370">
        <v>0.1</v>
      </c>
      <c r="L1370">
        <v>63</v>
      </c>
      <c r="M1370">
        <v>560</v>
      </c>
      <c r="N1370">
        <v>504</v>
      </c>
      <c r="O1370">
        <v>252</v>
      </c>
      <c r="P1370">
        <v>252</v>
      </c>
    </row>
    <row r="1371" spans="1:16" x14ac:dyDescent="0.3">
      <c r="A1371" s="1">
        <v>45992</v>
      </c>
      <c r="B1371" s="2" t="s">
        <v>39</v>
      </c>
      <c r="C1371" s="2" t="s">
        <v>40</v>
      </c>
      <c r="D1371" s="2" t="s">
        <v>46</v>
      </c>
      <c r="E1371" s="2" t="s">
        <v>42</v>
      </c>
      <c r="F1371" s="2" t="s">
        <v>43</v>
      </c>
      <c r="G1371" s="2" t="s">
        <v>99</v>
      </c>
      <c r="H1371">
        <v>1</v>
      </c>
      <c r="I1371">
        <v>2</v>
      </c>
      <c r="J1371">
        <v>798.69</v>
      </c>
      <c r="K1371">
        <v>0.1</v>
      </c>
      <c r="L1371">
        <v>520</v>
      </c>
      <c r="M1371">
        <v>1597.38</v>
      </c>
      <c r="N1371">
        <v>1437.6420000000001</v>
      </c>
      <c r="O1371">
        <v>1040</v>
      </c>
      <c r="P1371">
        <v>397.64200000000005</v>
      </c>
    </row>
    <row r="1372" spans="1:16" x14ac:dyDescent="0.3">
      <c r="A1372" s="1">
        <v>45931</v>
      </c>
      <c r="B1372" s="2" t="s">
        <v>75</v>
      </c>
      <c r="C1372" s="2" t="s">
        <v>106</v>
      </c>
      <c r="D1372" s="2" t="s">
        <v>41</v>
      </c>
      <c r="E1372" s="2" t="s">
        <v>42</v>
      </c>
      <c r="F1372" s="2" t="s">
        <v>43</v>
      </c>
      <c r="G1372" s="2" t="s">
        <v>155</v>
      </c>
      <c r="H1372">
        <v>2</v>
      </c>
      <c r="I1372">
        <v>6</v>
      </c>
      <c r="J1372">
        <v>1171.9000000000001</v>
      </c>
      <c r="K1372">
        <v>0</v>
      </c>
      <c r="L1372">
        <v>760</v>
      </c>
      <c r="M1372">
        <v>7031.4000000000005</v>
      </c>
      <c r="N1372">
        <v>7031.4000000000005</v>
      </c>
      <c r="O1372">
        <v>4560</v>
      </c>
      <c r="P1372">
        <v>2471.4000000000005</v>
      </c>
    </row>
    <row r="1373" spans="1:16" x14ac:dyDescent="0.3">
      <c r="A1373" s="1">
        <v>45931</v>
      </c>
      <c r="B1373" s="2" t="s">
        <v>75</v>
      </c>
      <c r="C1373" s="2" t="s">
        <v>76</v>
      </c>
      <c r="D1373" s="2" t="s">
        <v>50</v>
      </c>
      <c r="E1373" s="2" t="s">
        <v>42</v>
      </c>
      <c r="F1373" s="2" t="s">
        <v>43</v>
      </c>
      <c r="G1373" s="2" t="s">
        <v>151</v>
      </c>
      <c r="H1373">
        <v>1</v>
      </c>
      <c r="I1373">
        <v>1</v>
      </c>
      <c r="J1373">
        <v>1175.4000000000001</v>
      </c>
      <c r="K1373">
        <v>0</v>
      </c>
      <c r="L1373">
        <v>760</v>
      </c>
      <c r="M1373">
        <v>1175.4000000000001</v>
      </c>
      <c r="N1373">
        <v>1175.4000000000001</v>
      </c>
      <c r="O1373">
        <v>760</v>
      </c>
      <c r="P1373">
        <v>415.40000000000009</v>
      </c>
    </row>
    <row r="1374" spans="1:16" x14ac:dyDescent="0.3">
      <c r="A1374" s="1">
        <v>45992</v>
      </c>
      <c r="B1374" s="2" t="s">
        <v>39</v>
      </c>
      <c r="C1374" s="2" t="s">
        <v>45</v>
      </c>
      <c r="D1374" s="2" t="s">
        <v>41</v>
      </c>
      <c r="E1374" s="2" t="s">
        <v>42</v>
      </c>
      <c r="F1374" s="2" t="s">
        <v>52</v>
      </c>
      <c r="G1374" s="2" t="s">
        <v>87</v>
      </c>
      <c r="H1374">
        <v>1</v>
      </c>
      <c r="I1374">
        <v>1</v>
      </c>
      <c r="J1374">
        <v>21752</v>
      </c>
      <c r="K1374">
        <v>0</v>
      </c>
      <c r="L1374">
        <v>124</v>
      </c>
      <c r="M1374">
        <v>21752</v>
      </c>
      <c r="N1374">
        <v>21752</v>
      </c>
      <c r="O1374">
        <v>124</v>
      </c>
      <c r="P1374">
        <v>21628</v>
      </c>
    </row>
    <row r="1375" spans="1:16" x14ac:dyDescent="0.3">
      <c r="A1375" s="1">
        <v>45931</v>
      </c>
      <c r="B1375" s="2" t="s">
        <v>39</v>
      </c>
      <c r="C1375" s="2" t="s">
        <v>40</v>
      </c>
      <c r="D1375" s="2" t="s">
        <v>46</v>
      </c>
      <c r="E1375" s="2" t="s">
        <v>42</v>
      </c>
      <c r="F1375" s="2" t="s">
        <v>52</v>
      </c>
      <c r="G1375" s="2" t="s">
        <v>82</v>
      </c>
      <c r="H1375">
        <v>2</v>
      </c>
      <c r="I1375">
        <v>2</v>
      </c>
      <c r="J1375">
        <v>2215.0150000000003</v>
      </c>
      <c r="K1375">
        <v>7.5000000000000011E-2</v>
      </c>
      <c r="L1375">
        <v>71</v>
      </c>
      <c r="M1375">
        <v>4430.03</v>
      </c>
      <c r="N1375">
        <v>3997.9785000000002</v>
      </c>
      <c r="O1375">
        <v>142</v>
      </c>
      <c r="P1375">
        <v>3855.9785000000002</v>
      </c>
    </row>
    <row r="1376" spans="1:16" x14ac:dyDescent="0.3">
      <c r="A1376" s="1">
        <v>45931</v>
      </c>
      <c r="B1376" s="2" t="s">
        <v>39</v>
      </c>
      <c r="C1376" s="2" t="s">
        <v>92</v>
      </c>
      <c r="D1376" s="2" t="s">
        <v>50</v>
      </c>
      <c r="E1376" s="2" t="s">
        <v>47</v>
      </c>
      <c r="F1376" s="2" t="s">
        <v>48</v>
      </c>
      <c r="G1376" s="2" t="s">
        <v>230</v>
      </c>
      <c r="H1376">
        <v>1</v>
      </c>
      <c r="I1376">
        <v>2</v>
      </c>
      <c r="J1376">
        <v>138.5</v>
      </c>
      <c r="K1376">
        <v>0.12</v>
      </c>
      <c r="L1376">
        <v>63</v>
      </c>
      <c r="M1376">
        <v>277</v>
      </c>
      <c r="N1376">
        <v>243.76</v>
      </c>
      <c r="O1376">
        <v>126</v>
      </c>
      <c r="P1376">
        <v>117.75999999999999</v>
      </c>
    </row>
    <row r="1377" spans="1:16" x14ac:dyDescent="0.3">
      <c r="A1377" s="1">
        <v>45931</v>
      </c>
      <c r="B1377" s="2" t="s">
        <v>39</v>
      </c>
      <c r="C1377" s="2" t="s">
        <v>40</v>
      </c>
      <c r="D1377" s="2" t="s">
        <v>41</v>
      </c>
      <c r="E1377" s="2" t="s">
        <v>47</v>
      </c>
      <c r="F1377" s="2" t="s">
        <v>52</v>
      </c>
      <c r="G1377" s="2" t="s">
        <v>64</v>
      </c>
      <c r="H1377">
        <v>1</v>
      </c>
      <c r="I1377">
        <v>1</v>
      </c>
      <c r="J1377">
        <v>44.64</v>
      </c>
      <c r="K1377">
        <v>0</v>
      </c>
      <c r="L1377">
        <v>18</v>
      </c>
      <c r="M1377">
        <v>44.64</v>
      </c>
      <c r="N1377">
        <v>44.64</v>
      </c>
      <c r="O1377">
        <v>18</v>
      </c>
      <c r="P1377">
        <v>26.64</v>
      </c>
    </row>
    <row r="1378" spans="1:16" x14ac:dyDescent="0.3">
      <c r="A1378" s="1">
        <v>45931</v>
      </c>
      <c r="B1378" s="2" t="s">
        <v>39</v>
      </c>
      <c r="C1378" s="2" t="s">
        <v>40</v>
      </c>
      <c r="D1378" s="2" t="s">
        <v>41</v>
      </c>
      <c r="E1378" s="2" t="s">
        <v>47</v>
      </c>
      <c r="F1378" s="2" t="s">
        <v>43</v>
      </c>
      <c r="G1378" s="2" t="s">
        <v>64</v>
      </c>
      <c r="H1378">
        <v>2</v>
      </c>
      <c r="I1378">
        <v>4</v>
      </c>
      <c r="J1378">
        <v>697.10500000000002</v>
      </c>
      <c r="K1378">
        <v>0</v>
      </c>
      <c r="L1378">
        <v>423</v>
      </c>
      <c r="M1378">
        <v>2788.42</v>
      </c>
      <c r="N1378">
        <v>2788.42</v>
      </c>
      <c r="O1378">
        <v>1692</v>
      </c>
      <c r="P1378">
        <v>1096.42</v>
      </c>
    </row>
    <row r="1379" spans="1:16" x14ac:dyDescent="0.3">
      <c r="A1379" s="1">
        <v>45931</v>
      </c>
      <c r="B1379" s="2" t="s">
        <v>56</v>
      </c>
      <c r="C1379" s="2" t="s">
        <v>72</v>
      </c>
      <c r="D1379" s="2" t="s">
        <v>50</v>
      </c>
      <c r="E1379" s="2" t="s">
        <v>42</v>
      </c>
      <c r="F1379" s="2" t="s">
        <v>48</v>
      </c>
      <c r="G1379" s="2" t="s">
        <v>118</v>
      </c>
      <c r="H1379">
        <v>2</v>
      </c>
      <c r="I1379">
        <v>4</v>
      </c>
      <c r="J1379">
        <v>132.16</v>
      </c>
      <c r="K1379">
        <v>0.05</v>
      </c>
      <c r="L1379">
        <v>63</v>
      </c>
      <c r="M1379">
        <v>528.64</v>
      </c>
      <c r="N1379">
        <v>502.20799999999997</v>
      </c>
      <c r="O1379">
        <v>252</v>
      </c>
      <c r="P1379">
        <v>250.20799999999997</v>
      </c>
    </row>
    <row r="1380" spans="1:16" x14ac:dyDescent="0.3">
      <c r="A1380" s="1">
        <v>45931</v>
      </c>
      <c r="B1380" s="2" t="s">
        <v>39</v>
      </c>
      <c r="C1380" s="2" t="s">
        <v>88</v>
      </c>
      <c r="D1380" s="2" t="s">
        <v>46</v>
      </c>
      <c r="E1380" s="2" t="s">
        <v>51</v>
      </c>
      <c r="F1380" s="2" t="s">
        <v>43</v>
      </c>
      <c r="G1380" s="2" t="s">
        <v>154</v>
      </c>
      <c r="H1380">
        <v>1</v>
      </c>
      <c r="I1380">
        <v>13</v>
      </c>
      <c r="J1380">
        <v>556.57000000000005</v>
      </c>
      <c r="K1380">
        <v>0.05</v>
      </c>
      <c r="L1380">
        <v>395</v>
      </c>
      <c r="M1380">
        <v>7235.4100000000008</v>
      </c>
      <c r="N1380">
        <v>6873.6395000000002</v>
      </c>
      <c r="O1380">
        <v>5135</v>
      </c>
      <c r="P1380">
        <v>1738.6395000000002</v>
      </c>
    </row>
    <row r="1381" spans="1:16" x14ac:dyDescent="0.3">
      <c r="A1381" s="1">
        <v>45931</v>
      </c>
      <c r="B1381" s="2" t="s">
        <v>83</v>
      </c>
      <c r="C1381" s="2" t="s">
        <v>84</v>
      </c>
      <c r="D1381" s="2" t="s">
        <v>41</v>
      </c>
      <c r="E1381" s="2" t="s">
        <v>51</v>
      </c>
      <c r="F1381" s="2" t="s">
        <v>48</v>
      </c>
      <c r="G1381" s="2" t="s">
        <v>222</v>
      </c>
      <c r="H1381">
        <v>1</v>
      </c>
      <c r="I1381">
        <v>23</v>
      </c>
      <c r="J1381">
        <v>126.19</v>
      </c>
      <c r="K1381">
        <v>0</v>
      </c>
      <c r="L1381">
        <v>63</v>
      </c>
      <c r="M1381">
        <v>2902.37</v>
      </c>
      <c r="N1381">
        <v>2902.37</v>
      </c>
      <c r="O1381">
        <v>1449</v>
      </c>
      <c r="P1381">
        <v>1453.37</v>
      </c>
    </row>
    <row r="1382" spans="1:16" x14ac:dyDescent="0.3">
      <c r="A1382" s="1">
        <v>45992</v>
      </c>
      <c r="B1382" s="2" t="s">
        <v>39</v>
      </c>
      <c r="C1382" s="2" t="s">
        <v>40</v>
      </c>
      <c r="D1382" s="2" t="s">
        <v>41</v>
      </c>
      <c r="E1382" s="2" t="s">
        <v>47</v>
      </c>
      <c r="F1382" s="2" t="s">
        <v>43</v>
      </c>
      <c r="G1382" s="2" t="s">
        <v>44</v>
      </c>
      <c r="H1382">
        <v>2</v>
      </c>
      <c r="I1382">
        <v>3</v>
      </c>
      <c r="J1382">
        <v>481.62</v>
      </c>
      <c r="K1382">
        <v>0.05</v>
      </c>
      <c r="L1382">
        <v>287</v>
      </c>
      <c r="M1382">
        <v>1076.1100000000001</v>
      </c>
      <c r="N1382">
        <v>1053.5360000000001</v>
      </c>
      <c r="O1382">
        <v>628</v>
      </c>
      <c r="P1382">
        <v>425.53600000000006</v>
      </c>
    </row>
    <row r="1383" spans="1:16" x14ac:dyDescent="0.3">
      <c r="A1383" s="1">
        <v>45931</v>
      </c>
      <c r="B1383" s="2" t="s">
        <v>39</v>
      </c>
      <c r="C1383" s="2" t="s">
        <v>92</v>
      </c>
      <c r="D1383" s="2" t="s">
        <v>50</v>
      </c>
      <c r="E1383" s="2" t="s">
        <v>51</v>
      </c>
      <c r="F1383" s="2" t="s">
        <v>43</v>
      </c>
      <c r="G1383" s="2" t="s">
        <v>104</v>
      </c>
      <c r="H1383">
        <v>1</v>
      </c>
      <c r="I1383">
        <v>13</v>
      </c>
      <c r="J1383">
        <v>274.2</v>
      </c>
      <c r="K1383">
        <v>0.12</v>
      </c>
      <c r="L1383">
        <v>182</v>
      </c>
      <c r="M1383">
        <v>3564.6</v>
      </c>
      <c r="N1383">
        <v>3136.848</v>
      </c>
      <c r="O1383">
        <v>2366</v>
      </c>
      <c r="P1383">
        <v>770.84799999999996</v>
      </c>
    </row>
    <row r="1384" spans="1:16" x14ac:dyDescent="0.3">
      <c r="A1384" s="1">
        <v>45931</v>
      </c>
      <c r="B1384" s="2" t="s">
        <v>39</v>
      </c>
      <c r="C1384" s="2" t="s">
        <v>78</v>
      </c>
      <c r="D1384" s="2" t="s">
        <v>50</v>
      </c>
      <c r="E1384" s="2" t="s">
        <v>42</v>
      </c>
      <c r="F1384" s="2" t="s">
        <v>43</v>
      </c>
      <c r="G1384" s="2" t="s">
        <v>163</v>
      </c>
      <c r="H1384">
        <v>1</v>
      </c>
      <c r="I1384">
        <v>3</v>
      </c>
      <c r="J1384">
        <v>288.02999999999997</v>
      </c>
      <c r="K1384">
        <v>0.08</v>
      </c>
      <c r="L1384">
        <v>182</v>
      </c>
      <c r="M1384">
        <v>864.08999999999992</v>
      </c>
      <c r="N1384">
        <v>794.96280000000002</v>
      </c>
      <c r="O1384">
        <v>546</v>
      </c>
      <c r="P1384">
        <v>248.96280000000002</v>
      </c>
    </row>
    <row r="1385" spans="1:16" x14ac:dyDescent="0.3">
      <c r="A1385" s="1">
        <v>45931</v>
      </c>
      <c r="B1385" s="2" t="s">
        <v>39</v>
      </c>
      <c r="C1385" s="2" t="s">
        <v>78</v>
      </c>
      <c r="D1385" s="2" t="s">
        <v>46</v>
      </c>
      <c r="E1385" s="2" t="s">
        <v>51</v>
      </c>
      <c r="F1385" s="2" t="s">
        <v>48</v>
      </c>
      <c r="G1385" s="2" t="s">
        <v>79</v>
      </c>
      <c r="H1385">
        <v>1</v>
      </c>
      <c r="I1385">
        <v>19</v>
      </c>
      <c r="J1385">
        <v>64.61</v>
      </c>
      <c r="K1385">
        <v>0.05</v>
      </c>
      <c r="L1385">
        <v>31</v>
      </c>
      <c r="M1385">
        <v>1227.5899999999999</v>
      </c>
      <c r="N1385">
        <v>1166.2104999999999</v>
      </c>
      <c r="O1385">
        <v>589</v>
      </c>
      <c r="P1385">
        <v>577.21049999999991</v>
      </c>
    </row>
    <row r="1386" spans="1:16" x14ac:dyDescent="0.3">
      <c r="A1386" s="1">
        <v>45931</v>
      </c>
      <c r="B1386" s="2" t="s">
        <v>39</v>
      </c>
      <c r="C1386" s="2" t="s">
        <v>54</v>
      </c>
      <c r="D1386" s="2" t="s">
        <v>41</v>
      </c>
      <c r="E1386" s="2" t="s">
        <v>47</v>
      </c>
      <c r="F1386" s="2" t="s">
        <v>43</v>
      </c>
      <c r="G1386" s="2" t="s">
        <v>55</v>
      </c>
      <c r="H1386">
        <v>1</v>
      </c>
      <c r="I1386">
        <v>1</v>
      </c>
      <c r="J1386">
        <v>623.17999999999995</v>
      </c>
      <c r="K1386">
        <v>0</v>
      </c>
      <c r="L1386">
        <v>395</v>
      </c>
      <c r="M1386">
        <v>623.17999999999995</v>
      </c>
      <c r="N1386">
        <v>623.17999999999995</v>
      </c>
      <c r="O1386">
        <v>395</v>
      </c>
      <c r="P1386">
        <v>228.17999999999995</v>
      </c>
    </row>
    <row r="1387" spans="1:16" x14ac:dyDescent="0.3">
      <c r="A1387" s="1">
        <v>45931</v>
      </c>
      <c r="B1387" s="2" t="s">
        <v>56</v>
      </c>
      <c r="C1387" s="2" t="s">
        <v>57</v>
      </c>
      <c r="D1387" s="2" t="s">
        <v>50</v>
      </c>
      <c r="E1387" s="2" t="s">
        <v>47</v>
      </c>
      <c r="F1387" s="2" t="s">
        <v>52</v>
      </c>
      <c r="G1387" s="2" t="s">
        <v>150</v>
      </c>
      <c r="H1387">
        <v>1</v>
      </c>
      <c r="I1387">
        <v>2</v>
      </c>
      <c r="J1387">
        <v>43.69</v>
      </c>
      <c r="K1387">
        <v>0.08</v>
      </c>
      <c r="L1387">
        <v>18</v>
      </c>
      <c r="M1387">
        <v>87.38</v>
      </c>
      <c r="N1387">
        <v>80.389600000000002</v>
      </c>
      <c r="O1387">
        <v>36</v>
      </c>
      <c r="P1387">
        <v>44.389600000000002</v>
      </c>
    </row>
    <row r="1388" spans="1:16" x14ac:dyDescent="0.3">
      <c r="A1388" s="1">
        <v>45931</v>
      </c>
      <c r="B1388" s="2" t="s">
        <v>65</v>
      </c>
      <c r="C1388" s="2" t="s">
        <v>66</v>
      </c>
      <c r="D1388" s="2" t="s">
        <v>41</v>
      </c>
      <c r="E1388" s="2" t="s">
        <v>47</v>
      </c>
      <c r="F1388" s="2" t="s">
        <v>43</v>
      </c>
      <c r="G1388" s="2" t="s">
        <v>68</v>
      </c>
      <c r="H1388">
        <v>2</v>
      </c>
      <c r="I1388">
        <v>3</v>
      </c>
      <c r="J1388">
        <v>144.185</v>
      </c>
      <c r="K1388">
        <v>0</v>
      </c>
      <c r="L1388">
        <v>70</v>
      </c>
      <c r="M1388">
        <v>398.22</v>
      </c>
      <c r="N1388">
        <v>398.22</v>
      </c>
      <c r="O1388">
        <v>194</v>
      </c>
      <c r="P1388">
        <v>204.22</v>
      </c>
    </row>
    <row r="1389" spans="1:16" x14ac:dyDescent="0.3">
      <c r="A1389" s="1">
        <v>45931</v>
      </c>
      <c r="B1389" s="2" t="s">
        <v>39</v>
      </c>
      <c r="C1389" s="2" t="s">
        <v>40</v>
      </c>
      <c r="D1389" s="2" t="s">
        <v>46</v>
      </c>
      <c r="E1389" s="2" t="s">
        <v>47</v>
      </c>
      <c r="F1389" s="2" t="s">
        <v>43</v>
      </c>
      <c r="G1389" s="2" t="s">
        <v>207</v>
      </c>
      <c r="H1389">
        <v>1</v>
      </c>
      <c r="I1389">
        <v>1</v>
      </c>
      <c r="J1389">
        <v>110.9</v>
      </c>
      <c r="K1389">
        <v>0.08</v>
      </c>
      <c r="L1389">
        <v>54</v>
      </c>
      <c r="M1389">
        <v>110.9</v>
      </c>
      <c r="N1389">
        <v>102.02800000000001</v>
      </c>
      <c r="O1389">
        <v>54</v>
      </c>
      <c r="P1389">
        <v>48.028000000000006</v>
      </c>
    </row>
    <row r="1390" spans="1:16" x14ac:dyDescent="0.3">
      <c r="A1390" s="1">
        <v>45931</v>
      </c>
      <c r="B1390" s="2" t="s">
        <v>39</v>
      </c>
      <c r="C1390" s="2" t="s">
        <v>40</v>
      </c>
      <c r="D1390" s="2" t="s">
        <v>50</v>
      </c>
      <c r="E1390" s="2" t="s">
        <v>47</v>
      </c>
      <c r="F1390" s="2" t="s">
        <v>52</v>
      </c>
      <c r="G1390" s="2" t="s">
        <v>82</v>
      </c>
      <c r="H1390">
        <v>1</v>
      </c>
      <c r="I1390">
        <v>4</v>
      </c>
      <c r="J1390">
        <v>43.97</v>
      </c>
      <c r="K1390">
        <v>0.08</v>
      </c>
      <c r="L1390">
        <v>18</v>
      </c>
      <c r="M1390">
        <v>175.88</v>
      </c>
      <c r="N1390">
        <v>161.80959999999999</v>
      </c>
      <c r="O1390">
        <v>72</v>
      </c>
      <c r="P1390">
        <v>89.809599999999989</v>
      </c>
    </row>
    <row r="1391" spans="1:16" x14ac:dyDescent="0.3">
      <c r="A1391" s="1">
        <v>45931</v>
      </c>
      <c r="B1391" s="2" t="s">
        <v>39</v>
      </c>
      <c r="C1391" s="2" t="s">
        <v>40</v>
      </c>
      <c r="D1391" s="2" t="s">
        <v>46</v>
      </c>
      <c r="E1391" s="2" t="s">
        <v>47</v>
      </c>
      <c r="F1391" s="2" t="s">
        <v>48</v>
      </c>
      <c r="G1391" s="2" t="s">
        <v>99</v>
      </c>
      <c r="H1391">
        <v>2</v>
      </c>
      <c r="I1391">
        <v>8</v>
      </c>
      <c r="J1391">
        <v>106.85000000000001</v>
      </c>
      <c r="K1391">
        <v>0.09</v>
      </c>
      <c r="L1391">
        <v>47</v>
      </c>
      <c r="M1391">
        <v>854.80000000000007</v>
      </c>
      <c r="N1391">
        <v>775.46960000000013</v>
      </c>
      <c r="O1391">
        <v>376</v>
      </c>
      <c r="P1391">
        <v>399.46960000000013</v>
      </c>
    </row>
    <row r="1392" spans="1:16" x14ac:dyDescent="0.3">
      <c r="A1392" s="1">
        <v>45931</v>
      </c>
      <c r="B1392" s="2" t="s">
        <v>39</v>
      </c>
      <c r="C1392" s="2" t="s">
        <v>45</v>
      </c>
      <c r="D1392" s="2" t="s">
        <v>41</v>
      </c>
      <c r="E1392" s="2" t="s">
        <v>47</v>
      </c>
      <c r="F1392" s="2" t="s">
        <v>48</v>
      </c>
      <c r="G1392" s="2" t="s">
        <v>129</v>
      </c>
      <c r="H1392">
        <v>1</v>
      </c>
      <c r="I1392">
        <v>5</v>
      </c>
      <c r="J1392">
        <v>73.53</v>
      </c>
      <c r="K1392">
        <v>0</v>
      </c>
      <c r="L1392">
        <v>31</v>
      </c>
      <c r="M1392">
        <v>367.65</v>
      </c>
      <c r="N1392">
        <v>367.65</v>
      </c>
      <c r="O1392">
        <v>155</v>
      </c>
      <c r="P1392">
        <v>212.64999999999998</v>
      </c>
    </row>
    <row r="1393" spans="1:16" x14ac:dyDescent="0.3">
      <c r="A1393" s="1">
        <v>45931</v>
      </c>
      <c r="B1393" s="2" t="s">
        <v>39</v>
      </c>
      <c r="C1393" s="2" t="s">
        <v>45</v>
      </c>
      <c r="D1393" s="2" t="s">
        <v>41</v>
      </c>
      <c r="E1393" s="2" t="s">
        <v>47</v>
      </c>
      <c r="F1393" s="2" t="s">
        <v>43</v>
      </c>
      <c r="G1393" s="2" t="s">
        <v>129</v>
      </c>
      <c r="H1393">
        <v>3</v>
      </c>
      <c r="I1393">
        <v>8</v>
      </c>
      <c r="J1393">
        <v>602.30333333333328</v>
      </c>
      <c r="K1393">
        <v>1.6666666666666666E-2</v>
      </c>
      <c r="L1393">
        <v>364.66666666666663</v>
      </c>
      <c r="M1393">
        <v>5312.2599999999993</v>
      </c>
      <c r="N1393">
        <v>5301.4129999999996</v>
      </c>
      <c r="O1393">
        <v>3228</v>
      </c>
      <c r="P1393">
        <v>2073.4129999999996</v>
      </c>
    </row>
    <row r="1394" spans="1:16" x14ac:dyDescent="0.3">
      <c r="A1394" s="1">
        <v>45931</v>
      </c>
      <c r="B1394" s="2" t="s">
        <v>75</v>
      </c>
      <c r="C1394" s="2" t="s">
        <v>76</v>
      </c>
      <c r="D1394" s="2" t="s">
        <v>46</v>
      </c>
      <c r="E1394" s="2" t="s">
        <v>42</v>
      </c>
      <c r="F1394" s="2" t="s">
        <v>43</v>
      </c>
      <c r="G1394" s="2" t="s">
        <v>77</v>
      </c>
      <c r="H1394">
        <v>2</v>
      </c>
      <c r="I1394">
        <v>4</v>
      </c>
      <c r="J1394">
        <v>358.39499999999998</v>
      </c>
      <c r="K1394">
        <v>0.1</v>
      </c>
      <c r="L1394">
        <v>224.5</v>
      </c>
      <c r="M1394">
        <v>1433.5800000000002</v>
      </c>
      <c r="N1394">
        <v>1269.7776000000001</v>
      </c>
      <c r="O1394">
        <v>898</v>
      </c>
      <c r="P1394">
        <v>371.77760000000012</v>
      </c>
    </row>
    <row r="1395" spans="1:16" x14ac:dyDescent="0.3">
      <c r="A1395" s="1">
        <v>45931</v>
      </c>
      <c r="B1395" s="2" t="s">
        <v>39</v>
      </c>
      <c r="C1395" s="2" t="s">
        <v>40</v>
      </c>
      <c r="D1395" s="2" t="s">
        <v>46</v>
      </c>
      <c r="E1395" s="2" t="s">
        <v>47</v>
      </c>
      <c r="F1395" s="2" t="s">
        <v>43</v>
      </c>
      <c r="G1395" s="2" t="s">
        <v>120</v>
      </c>
      <c r="H1395">
        <v>1</v>
      </c>
      <c r="I1395">
        <v>2</v>
      </c>
      <c r="J1395">
        <v>112.92</v>
      </c>
      <c r="K1395">
        <v>0.08</v>
      </c>
      <c r="L1395">
        <v>54</v>
      </c>
      <c r="M1395">
        <v>225.84</v>
      </c>
      <c r="N1395">
        <v>207.77280000000002</v>
      </c>
      <c r="O1395">
        <v>108</v>
      </c>
      <c r="P1395">
        <v>99.772800000000018</v>
      </c>
    </row>
    <row r="1396" spans="1:16" x14ac:dyDescent="0.3">
      <c r="A1396" s="1">
        <v>45931</v>
      </c>
      <c r="B1396" s="2" t="s">
        <v>65</v>
      </c>
      <c r="C1396" s="2" t="s">
        <v>80</v>
      </c>
      <c r="D1396" s="2" t="s">
        <v>50</v>
      </c>
      <c r="E1396" s="2" t="s">
        <v>42</v>
      </c>
      <c r="F1396" s="2" t="s">
        <v>43</v>
      </c>
      <c r="G1396" s="2" t="s">
        <v>81</v>
      </c>
      <c r="H1396">
        <v>1</v>
      </c>
      <c r="I1396">
        <v>1</v>
      </c>
      <c r="J1396">
        <v>30215</v>
      </c>
      <c r="K1396">
        <v>0.8</v>
      </c>
      <c r="L1396">
        <v>182</v>
      </c>
      <c r="M1396">
        <v>30215</v>
      </c>
      <c r="N1396">
        <v>6042.9999999999991</v>
      </c>
      <c r="O1396">
        <v>182</v>
      </c>
      <c r="P1396">
        <v>5860.9999999999991</v>
      </c>
    </row>
    <row r="1397" spans="1:16" x14ac:dyDescent="0.3">
      <c r="A1397" s="1">
        <v>45931</v>
      </c>
      <c r="B1397" s="2" t="s">
        <v>83</v>
      </c>
      <c r="C1397" s="2" t="s">
        <v>84</v>
      </c>
      <c r="D1397" s="2" t="s">
        <v>41</v>
      </c>
      <c r="E1397" s="2" t="s">
        <v>42</v>
      </c>
      <c r="F1397" s="2" t="s">
        <v>48</v>
      </c>
      <c r="G1397" s="2" t="s">
        <v>222</v>
      </c>
      <c r="H1397">
        <v>1</v>
      </c>
      <c r="I1397">
        <v>4</v>
      </c>
      <c r="J1397">
        <v>69.62</v>
      </c>
      <c r="K1397">
        <v>0</v>
      </c>
      <c r="L1397">
        <v>31</v>
      </c>
      <c r="M1397">
        <v>278.48</v>
      </c>
      <c r="N1397">
        <v>278.48</v>
      </c>
      <c r="O1397">
        <v>124</v>
      </c>
      <c r="P1397">
        <v>154.48000000000002</v>
      </c>
    </row>
    <row r="1398" spans="1:16" x14ac:dyDescent="0.3">
      <c r="A1398" s="1">
        <v>45931</v>
      </c>
      <c r="B1398" s="2" t="s">
        <v>39</v>
      </c>
      <c r="C1398" s="2" t="s">
        <v>40</v>
      </c>
      <c r="D1398" s="2" t="s">
        <v>46</v>
      </c>
      <c r="E1398" s="2" t="s">
        <v>47</v>
      </c>
      <c r="F1398" s="2" t="s">
        <v>52</v>
      </c>
      <c r="G1398" s="2" t="s">
        <v>229</v>
      </c>
      <c r="H1398">
        <v>1</v>
      </c>
      <c r="I1398">
        <v>3</v>
      </c>
      <c r="J1398">
        <v>43.53</v>
      </c>
      <c r="K1398">
        <v>0.08</v>
      </c>
      <c r="L1398">
        <v>18</v>
      </c>
      <c r="M1398">
        <v>130.59</v>
      </c>
      <c r="N1398">
        <v>120.14280000000001</v>
      </c>
      <c r="O1398">
        <v>54</v>
      </c>
      <c r="P1398">
        <v>66.142800000000008</v>
      </c>
    </row>
    <row r="1399" spans="1:16" x14ac:dyDescent="0.3">
      <c r="A1399" s="1">
        <v>45931</v>
      </c>
      <c r="B1399" s="2" t="s">
        <v>39</v>
      </c>
      <c r="C1399" s="2" t="s">
        <v>88</v>
      </c>
      <c r="D1399" s="2" t="s">
        <v>50</v>
      </c>
      <c r="E1399" s="2" t="s">
        <v>42</v>
      </c>
      <c r="F1399" s="2" t="s">
        <v>43</v>
      </c>
      <c r="G1399" s="2" t="s">
        <v>89</v>
      </c>
      <c r="H1399">
        <v>1</v>
      </c>
      <c r="I1399">
        <v>2</v>
      </c>
      <c r="J1399">
        <v>102.9</v>
      </c>
      <c r="K1399">
        <v>0.05</v>
      </c>
      <c r="L1399">
        <v>54</v>
      </c>
      <c r="M1399">
        <v>205.8</v>
      </c>
      <c r="N1399">
        <v>195.51</v>
      </c>
      <c r="O1399">
        <v>108</v>
      </c>
      <c r="P1399">
        <v>87.509999999999991</v>
      </c>
    </row>
    <row r="1400" spans="1:16" x14ac:dyDescent="0.3">
      <c r="A1400" s="1">
        <v>45931</v>
      </c>
      <c r="B1400" s="2" t="s">
        <v>39</v>
      </c>
      <c r="C1400" s="2" t="s">
        <v>88</v>
      </c>
      <c r="D1400" s="2" t="s">
        <v>50</v>
      </c>
      <c r="E1400" s="2" t="s">
        <v>42</v>
      </c>
      <c r="F1400" s="2" t="s">
        <v>48</v>
      </c>
      <c r="G1400" s="2" t="s">
        <v>89</v>
      </c>
      <c r="H1400">
        <v>1</v>
      </c>
      <c r="I1400">
        <v>4</v>
      </c>
      <c r="J1400">
        <v>23.61</v>
      </c>
      <c r="K1400">
        <v>0.05</v>
      </c>
      <c r="L1400">
        <v>8</v>
      </c>
      <c r="M1400">
        <v>94.44</v>
      </c>
      <c r="N1400">
        <v>89.717999999999989</v>
      </c>
      <c r="O1400">
        <v>32</v>
      </c>
      <c r="P1400">
        <v>57.717999999999989</v>
      </c>
    </row>
    <row r="1401" spans="1:16" x14ac:dyDescent="0.3">
      <c r="A1401" s="1">
        <v>45931</v>
      </c>
      <c r="B1401" s="2" t="s">
        <v>83</v>
      </c>
      <c r="C1401" s="2" t="s">
        <v>84</v>
      </c>
      <c r="D1401" s="2" t="s">
        <v>41</v>
      </c>
      <c r="E1401" s="2" t="s">
        <v>51</v>
      </c>
      <c r="F1401" s="2" t="s">
        <v>43</v>
      </c>
      <c r="G1401" s="2" t="s">
        <v>157</v>
      </c>
      <c r="H1401">
        <v>2</v>
      </c>
      <c r="I1401">
        <v>11</v>
      </c>
      <c r="J1401">
        <v>271.32499999999999</v>
      </c>
      <c r="K1401">
        <v>0.05</v>
      </c>
      <c r="L1401">
        <v>182</v>
      </c>
      <c r="M1401">
        <v>2978.25</v>
      </c>
      <c r="N1401">
        <v>2829.3374999999996</v>
      </c>
      <c r="O1401">
        <v>2002</v>
      </c>
      <c r="P1401">
        <v>827.33749999999986</v>
      </c>
    </row>
    <row r="1402" spans="1:16" x14ac:dyDescent="0.3">
      <c r="A1402" s="1">
        <v>45931</v>
      </c>
      <c r="B1402" s="2" t="s">
        <v>83</v>
      </c>
      <c r="C1402" s="2" t="s">
        <v>84</v>
      </c>
      <c r="D1402" s="2" t="s">
        <v>41</v>
      </c>
      <c r="E1402" s="2" t="s">
        <v>51</v>
      </c>
      <c r="F1402" s="2" t="s">
        <v>48</v>
      </c>
      <c r="G1402" s="2" t="s">
        <v>157</v>
      </c>
      <c r="H1402">
        <v>1</v>
      </c>
      <c r="I1402">
        <v>7</v>
      </c>
      <c r="J1402">
        <v>120.78</v>
      </c>
      <c r="K1402">
        <v>0</v>
      </c>
      <c r="L1402">
        <v>63</v>
      </c>
      <c r="M1402">
        <v>845.46</v>
      </c>
      <c r="N1402">
        <v>845.46</v>
      </c>
      <c r="O1402">
        <v>441</v>
      </c>
      <c r="P1402">
        <v>404.46000000000004</v>
      </c>
    </row>
    <row r="1403" spans="1:16" x14ac:dyDescent="0.3">
      <c r="A1403" s="1">
        <v>45931</v>
      </c>
      <c r="B1403" s="2" t="s">
        <v>39</v>
      </c>
      <c r="C1403" s="2" t="s">
        <v>92</v>
      </c>
      <c r="D1403" s="2" t="s">
        <v>46</v>
      </c>
      <c r="E1403" s="2" t="s">
        <v>42</v>
      </c>
      <c r="F1403" s="2" t="s">
        <v>43</v>
      </c>
      <c r="G1403" s="2" t="s">
        <v>166</v>
      </c>
      <c r="H1403">
        <v>1</v>
      </c>
      <c r="I1403">
        <v>1</v>
      </c>
      <c r="J1403">
        <v>1151.26</v>
      </c>
      <c r="K1403">
        <v>0.08</v>
      </c>
      <c r="L1403">
        <v>760</v>
      </c>
      <c r="M1403">
        <v>1151.26</v>
      </c>
      <c r="N1403">
        <v>1059.1592000000001</v>
      </c>
      <c r="O1403">
        <v>760</v>
      </c>
      <c r="P1403">
        <v>299.15920000000006</v>
      </c>
    </row>
    <row r="1404" spans="1:16" x14ac:dyDescent="0.3">
      <c r="A1404" s="1">
        <v>45931</v>
      </c>
      <c r="B1404" s="2" t="s">
        <v>65</v>
      </c>
      <c r="C1404" s="2" t="s">
        <v>134</v>
      </c>
      <c r="D1404" s="2" t="s">
        <v>41</v>
      </c>
      <c r="E1404" s="2" t="s">
        <v>42</v>
      </c>
      <c r="F1404" s="2" t="s">
        <v>43</v>
      </c>
      <c r="G1404" s="2" t="s">
        <v>227</v>
      </c>
      <c r="H1404">
        <v>2</v>
      </c>
      <c r="I1404">
        <v>5</v>
      </c>
      <c r="J1404">
        <v>550.78499999999997</v>
      </c>
      <c r="K1404">
        <v>0</v>
      </c>
      <c r="L1404">
        <v>260.5</v>
      </c>
      <c r="M1404">
        <v>2503.67</v>
      </c>
      <c r="N1404">
        <v>2503.67</v>
      </c>
      <c r="O1404">
        <v>1043</v>
      </c>
      <c r="P1404">
        <v>1460.6699999999998</v>
      </c>
    </row>
    <row r="1405" spans="1:16" x14ac:dyDescent="0.3">
      <c r="A1405" s="1">
        <v>45931</v>
      </c>
      <c r="B1405" s="2" t="s">
        <v>83</v>
      </c>
      <c r="C1405" s="2" t="s">
        <v>84</v>
      </c>
      <c r="D1405" s="2" t="s">
        <v>41</v>
      </c>
      <c r="E1405" s="2" t="s">
        <v>51</v>
      </c>
      <c r="F1405" s="2" t="s">
        <v>43</v>
      </c>
      <c r="G1405" s="2" t="s">
        <v>202</v>
      </c>
      <c r="H1405">
        <v>1</v>
      </c>
      <c r="I1405">
        <v>12</v>
      </c>
      <c r="J1405">
        <v>572.74</v>
      </c>
      <c r="K1405">
        <v>0</v>
      </c>
      <c r="L1405">
        <v>395</v>
      </c>
      <c r="M1405">
        <v>6872.88</v>
      </c>
      <c r="N1405">
        <v>6872.88</v>
      </c>
      <c r="O1405">
        <v>4740</v>
      </c>
      <c r="P1405">
        <v>2132.88</v>
      </c>
    </row>
    <row r="1406" spans="1:16" x14ac:dyDescent="0.3">
      <c r="A1406" s="1">
        <v>45931</v>
      </c>
      <c r="B1406" s="2" t="s">
        <v>39</v>
      </c>
      <c r="C1406" s="2" t="s">
        <v>78</v>
      </c>
      <c r="D1406" s="2" t="s">
        <v>50</v>
      </c>
      <c r="E1406" s="2" t="s">
        <v>42</v>
      </c>
      <c r="F1406" s="2" t="s">
        <v>48</v>
      </c>
      <c r="G1406" s="2" t="s">
        <v>190</v>
      </c>
      <c r="H1406">
        <v>1</v>
      </c>
      <c r="I1406">
        <v>1</v>
      </c>
      <c r="J1406">
        <v>134.96</v>
      </c>
      <c r="K1406">
        <v>0.05</v>
      </c>
      <c r="L1406">
        <v>63</v>
      </c>
      <c r="M1406">
        <v>134.96</v>
      </c>
      <c r="N1406">
        <v>128.21199999999999</v>
      </c>
      <c r="O1406">
        <v>63</v>
      </c>
      <c r="P1406">
        <v>65.211999999999989</v>
      </c>
    </row>
    <row r="1407" spans="1:16" x14ac:dyDescent="0.3">
      <c r="A1407" s="1">
        <v>45931</v>
      </c>
      <c r="B1407" s="2" t="s">
        <v>39</v>
      </c>
      <c r="C1407" s="2" t="s">
        <v>92</v>
      </c>
      <c r="D1407" s="2" t="s">
        <v>46</v>
      </c>
      <c r="E1407" s="2" t="s">
        <v>51</v>
      </c>
      <c r="F1407" s="2" t="s">
        <v>43</v>
      </c>
      <c r="G1407" s="2" t="s">
        <v>184</v>
      </c>
      <c r="H1407">
        <v>1</v>
      </c>
      <c r="I1407">
        <v>10</v>
      </c>
      <c r="J1407">
        <v>155.91999999999999</v>
      </c>
      <c r="K1407">
        <v>0.12</v>
      </c>
      <c r="L1407">
        <v>86</v>
      </c>
      <c r="M1407">
        <v>1559.1999999999998</v>
      </c>
      <c r="N1407">
        <v>1372.0959999999998</v>
      </c>
      <c r="O1407">
        <v>860</v>
      </c>
      <c r="P1407">
        <v>512.09599999999978</v>
      </c>
    </row>
    <row r="1408" spans="1:16" x14ac:dyDescent="0.3">
      <c r="A1408" s="1">
        <v>45931</v>
      </c>
      <c r="B1408" s="2" t="s">
        <v>39</v>
      </c>
      <c r="C1408" s="2" t="s">
        <v>78</v>
      </c>
      <c r="D1408" s="2" t="s">
        <v>41</v>
      </c>
      <c r="E1408" s="2" t="s">
        <v>47</v>
      </c>
      <c r="F1408" s="2" t="s">
        <v>43</v>
      </c>
      <c r="G1408" s="2" t="s">
        <v>217</v>
      </c>
      <c r="H1408">
        <v>1</v>
      </c>
      <c r="I1408">
        <v>1</v>
      </c>
      <c r="J1408">
        <v>651.76</v>
      </c>
      <c r="K1408">
        <v>0</v>
      </c>
      <c r="L1408">
        <v>395</v>
      </c>
      <c r="M1408">
        <v>651.76</v>
      </c>
      <c r="N1408">
        <v>651.76</v>
      </c>
      <c r="O1408">
        <v>395</v>
      </c>
      <c r="P1408">
        <v>256.76</v>
      </c>
    </row>
    <row r="1409" spans="1:16" x14ac:dyDescent="0.3">
      <c r="A1409" s="1">
        <v>45931</v>
      </c>
      <c r="B1409" s="2" t="s">
        <v>56</v>
      </c>
      <c r="C1409" s="2" t="s">
        <v>62</v>
      </c>
      <c r="D1409" s="2" t="s">
        <v>46</v>
      </c>
      <c r="E1409" s="2" t="s">
        <v>42</v>
      </c>
      <c r="F1409" s="2" t="s">
        <v>43</v>
      </c>
      <c r="G1409" s="2" t="s">
        <v>74</v>
      </c>
      <c r="H1409">
        <v>2</v>
      </c>
      <c r="I1409">
        <v>4</v>
      </c>
      <c r="J1409">
        <v>382.87</v>
      </c>
      <c r="K1409">
        <v>0.1</v>
      </c>
      <c r="L1409">
        <v>240.5</v>
      </c>
      <c r="M1409">
        <v>1531.48</v>
      </c>
      <c r="N1409">
        <v>1378.3320000000001</v>
      </c>
      <c r="O1409">
        <v>962</v>
      </c>
      <c r="P1409">
        <v>416.33200000000005</v>
      </c>
    </row>
    <row r="1410" spans="1:16" x14ac:dyDescent="0.3">
      <c r="A1410" s="1">
        <v>45931</v>
      </c>
      <c r="B1410" s="2" t="s">
        <v>83</v>
      </c>
      <c r="C1410" s="2" t="s">
        <v>164</v>
      </c>
      <c r="D1410" s="2" t="s">
        <v>50</v>
      </c>
      <c r="E1410" s="2" t="s">
        <v>42</v>
      </c>
      <c r="F1410" s="2" t="s">
        <v>43</v>
      </c>
      <c r="G1410" s="2" t="s">
        <v>165</v>
      </c>
      <c r="H1410">
        <v>1</v>
      </c>
      <c r="I1410">
        <v>3</v>
      </c>
      <c r="J1410">
        <v>607.26</v>
      </c>
      <c r="K1410">
        <v>0.08</v>
      </c>
      <c r="L1410">
        <v>395</v>
      </c>
      <c r="M1410">
        <v>1821.78</v>
      </c>
      <c r="N1410">
        <v>1676.0376000000001</v>
      </c>
      <c r="O1410">
        <v>1185</v>
      </c>
      <c r="P1410">
        <v>491.03760000000011</v>
      </c>
    </row>
    <row r="1411" spans="1:16" x14ac:dyDescent="0.3">
      <c r="A1411" s="1">
        <v>45931</v>
      </c>
      <c r="B1411" s="2" t="s">
        <v>83</v>
      </c>
      <c r="C1411" s="2" t="s">
        <v>164</v>
      </c>
      <c r="D1411" s="2" t="s">
        <v>50</v>
      </c>
      <c r="E1411" s="2" t="s">
        <v>42</v>
      </c>
      <c r="F1411" s="2" t="s">
        <v>52</v>
      </c>
      <c r="G1411" s="2" t="s">
        <v>165</v>
      </c>
      <c r="H1411">
        <v>1</v>
      </c>
      <c r="I1411">
        <v>2</v>
      </c>
      <c r="J1411">
        <v>43.04</v>
      </c>
      <c r="K1411">
        <v>0.1</v>
      </c>
      <c r="L1411">
        <v>18</v>
      </c>
      <c r="M1411">
        <v>86.08</v>
      </c>
      <c r="N1411">
        <v>77.471999999999994</v>
      </c>
      <c r="O1411">
        <v>36</v>
      </c>
      <c r="P1411">
        <v>41.471999999999994</v>
      </c>
    </row>
    <row r="1412" spans="1:16" x14ac:dyDescent="0.3">
      <c r="A1412" s="1">
        <v>45931</v>
      </c>
      <c r="B1412" s="2" t="s">
        <v>83</v>
      </c>
      <c r="C1412" s="2" t="s">
        <v>84</v>
      </c>
      <c r="D1412" s="2" t="s">
        <v>41</v>
      </c>
      <c r="E1412" s="2" t="s">
        <v>42</v>
      </c>
      <c r="F1412" s="2" t="s">
        <v>43</v>
      </c>
      <c r="G1412" s="2" t="s">
        <v>160</v>
      </c>
      <c r="H1412">
        <v>2</v>
      </c>
      <c r="I1412">
        <v>5</v>
      </c>
      <c r="J1412">
        <v>1027.72</v>
      </c>
      <c r="K1412">
        <v>0</v>
      </c>
      <c r="L1412">
        <v>640</v>
      </c>
      <c r="M1412">
        <v>4959.1200000000008</v>
      </c>
      <c r="N1412">
        <v>4959.1200000000008</v>
      </c>
      <c r="O1412">
        <v>3080</v>
      </c>
      <c r="P1412">
        <v>1879.1200000000003</v>
      </c>
    </row>
    <row r="1413" spans="1:16" x14ac:dyDescent="0.3">
      <c r="A1413" s="1">
        <v>45931</v>
      </c>
      <c r="B1413" s="2" t="s">
        <v>83</v>
      </c>
      <c r="C1413" s="2" t="s">
        <v>84</v>
      </c>
      <c r="D1413" s="2" t="s">
        <v>41</v>
      </c>
      <c r="E1413" s="2" t="s">
        <v>42</v>
      </c>
      <c r="F1413" s="2" t="s">
        <v>48</v>
      </c>
      <c r="G1413" s="2" t="s">
        <v>160</v>
      </c>
      <c r="H1413">
        <v>1</v>
      </c>
      <c r="I1413">
        <v>2</v>
      </c>
      <c r="J1413">
        <v>74.709999999999994</v>
      </c>
      <c r="K1413">
        <v>0</v>
      </c>
      <c r="L1413">
        <v>31</v>
      </c>
      <c r="M1413">
        <v>149.41999999999999</v>
      </c>
      <c r="N1413">
        <v>149.41999999999999</v>
      </c>
      <c r="O1413">
        <v>62</v>
      </c>
      <c r="P1413">
        <v>87.419999999999987</v>
      </c>
    </row>
    <row r="1414" spans="1:16" x14ac:dyDescent="0.3">
      <c r="A1414" s="1">
        <v>45931</v>
      </c>
      <c r="B1414" s="2" t="s">
        <v>197</v>
      </c>
      <c r="C1414" s="2" t="s">
        <v>40</v>
      </c>
      <c r="D1414" s="2" t="s">
        <v>50</v>
      </c>
      <c r="E1414" s="2" t="s">
        <v>42</v>
      </c>
      <c r="F1414" s="2" t="s">
        <v>43</v>
      </c>
      <c r="G1414" s="2" t="s">
        <v>198</v>
      </c>
      <c r="H1414">
        <v>1</v>
      </c>
      <c r="I1414">
        <v>3</v>
      </c>
      <c r="J1414">
        <v>176.55</v>
      </c>
      <c r="K1414">
        <v>0.08</v>
      </c>
      <c r="L1414">
        <v>86</v>
      </c>
      <c r="M1414">
        <v>529.65000000000009</v>
      </c>
      <c r="N1414">
        <v>487.27800000000008</v>
      </c>
      <c r="O1414">
        <v>258</v>
      </c>
      <c r="P1414">
        <v>229.27800000000008</v>
      </c>
    </row>
    <row r="1415" spans="1:16" x14ac:dyDescent="0.3">
      <c r="A1415" s="1">
        <v>45931</v>
      </c>
      <c r="B1415" s="2" t="s">
        <v>56</v>
      </c>
      <c r="C1415" s="2" t="s">
        <v>62</v>
      </c>
      <c r="D1415" s="2" t="s">
        <v>41</v>
      </c>
      <c r="E1415" s="2" t="s">
        <v>47</v>
      </c>
      <c r="F1415" s="2" t="s">
        <v>43</v>
      </c>
      <c r="G1415" s="2" t="s">
        <v>193</v>
      </c>
      <c r="H1415">
        <v>1</v>
      </c>
      <c r="I1415">
        <v>2</v>
      </c>
      <c r="J1415">
        <v>631.45000000000005</v>
      </c>
      <c r="K1415">
        <v>0</v>
      </c>
      <c r="L1415">
        <v>395</v>
      </c>
      <c r="M1415">
        <v>1262.9000000000001</v>
      </c>
      <c r="N1415">
        <v>1262.9000000000001</v>
      </c>
      <c r="O1415">
        <v>790</v>
      </c>
      <c r="P1415">
        <v>472.90000000000009</v>
      </c>
    </row>
    <row r="1416" spans="1:16" x14ac:dyDescent="0.3">
      <c r="A1416" s="1">
        <v>45931</v>
      </c>
      <c r="B1416" s="2" t="s">
        <v>39</v>
      </c>
      <c r="C1416" s="2" t="s">
        <v>78</v>
      </c>
      <c r="D1416" s="2" t="s">
        <v>46</v>
      </c>
      <c r="E1416" s="2" t="s">
        <v>42</v>
      </c>
      <c r="F1416" s="2" t="s">
        <v>48</v>
      </c>
      <c r="G1416" s="2" t="s">
        <v>79</v>
      </c>
      <c r="H1416">
        <v>1</v>
      </c>
      <c r="I1416">
        <v>3</v>
      </c>
      <c r="J1416">
        <v>93.16</v>
      </c>
      <c r="K1416">
        <v>0.05</v>
      </c>
      <c r="L1416">
        <v>39</v>
      </c>
      <c r="M1416">
        <v>279.48</v>
      </c>
      <c r="N1416">
        <v>265.50600000000003</v>
      </c>
      <c r="O1416">
        <v>117</v>
      </c>
      <c r="P1416">
        <v>148.50600000000003</v>
      </c>
    </row>
    <row r="1417" spans="1:16" x14ac:dyDescent="0.3">
      <c r="A1417" s="1">
        <v>45931</v>
      </c>
      <c r="B1417" s="2" t="s">
        <v>39</v>
      </c>
      <c r="C1417" s="2" t="s">
        <v>54</v>
      </c>
      <c r="D1417" s="2" t="s">
        <v>41</v>
      </c>
      <c r="E1417" s="2" t="s">
        <v>51</v>
      </c>
      <c r="F1417" s="2" t="s">
        <v>48</v>
      </c>
      <c r="G1417" s="2" t="s">
        <v>55</v>
      </c>
      <c r="H1417">
        <v>1</v>
      </c>
      <c r="I1417">
        <v>23</v>
      </c>
      <c r="J1417">
        <v>21</v>
      </c>
      <c r="K1417">
        <v>0</v>
      </c>
      <c r="L1417">
        <v>8</v>
      </c>
      <c r="M1417">
        <v>483</v>
      </c>
      <c r="N1417">
        <v>483</v>
      </c>
      <c r="O1417">
        <v>184</v>
      </c>
      <c r="P1417">
        <v>299</v>
      </c>
    </row>
    <row r="1418" spans="1:16" x14ac:dyDescent="0.3">
      <c r="A1418" s="1">
        <v>45931</v>
      </c>
      <c r="B1418" s="2" t="s">
        <v>39</v>
      </c>
      <c r="C1418" s="2" t="s">
        <v>45</v>
      </c>
      <c r="D1418" s="2" t="s">
        <v>46</v>
      </c>
      <c r="E1418" s="2" t="s">
        <v>42</v>
      </c>
      <c r="F1418" s="2" t="s">
        <v>52</v>
      </c>
      <c r="G1418" s="2" t="s">
        <v>188</v>
      </c>
      <c r="H1418">
        <v>1</v>
      </c>
      <c r="I1418">
        <v>1</v>
      </c>
      <c r="J1418">
        <v>42.48</v>
      </c>
      <c r="K1418">
        <v>0.12</v>
      </c>
      <c r="L1418">
        <v>18</v>
      </c>
      <c r="M1418">
        <v>42.48</v>
      </c>
      <c r="N1418">
        <v>37.382399999999997</v>
      </c>
      <c r="O1418">
        <v>18</v>
      </c>
      <c r="P1418">
        <v>19.382399999999997</v>
      </c>
    </row>
    <row r="1419" spans="1:16" x14ac:dyDescent="0.3">
      <c r="A1419" s="1">
        <v>45931</v>
      </c>
      <c r="B1419" s="2" t="s">
        <v>83</v>
      </c>
      <c r="C1419" s="2" t="s">
        <v>84</v>
      </c>
      <c r="D1419" s="2" t="s">
        <v>50</v>
      </c>
      <c r="E1419" s="2" t="s">
        <v>51</v>
      </c>
      <c r="F1419" s="2" t="s">
        <v>43</v>
      </c>
      <c r="G1419" s="2" t="s">
        <v>91</v>
      </c>
      <c r="H1419">
        <v>1</v>
      </c>
      <c r="I1419">
        <v>13</v>
      </c>
      <c r="J1419">
        <v>265.52999999999997</v>
      </c>
      <c r="K1419">
        <v>0.05</v>
      </c>
      <c r="L1419">
        <v>182</v>
      </c>
      <c r="M1419">
        <v>3451.8899999999994</v>
      </c>
      <c r="N1419">
        <v>3279.2954999999993</v>
      </c>
      <c r="O1419">
        <v>2366</v>
      </c>
      <c r="P1419">
        <v>913.29549999999927</v>
      </c>
    </row>
    <row r="1420" spans="1:16" x14ac:dyDescent="0.3">
      <c r="A1420" s="1">
        <v>45931</v>
      </c>
      <c r="B1420" s="2" t="s">
        <v>39</v>
      </c>
      <c r="C1420" s="2" t="s">
        <v>54</v>
      </c>
      <c r="D1420" s="2" t="s">
        <v>50</v>
      </c>
      <c r="E1420" s="2" t="s">
        <v>47</v>
      </c>
      <c r="F1420" s="2" t="s">
        <v>52</v>
      </c>
      <c r="G1420" s="2" t="s">
        <v>178</v>
      </c>
      <c r="H1420">
        <v>1</v>
      </c>
      <c r="I1420">
        <v>2</v>
      </c>
      <c r="J1420">
        <v>212.93</v>
      </c>
      <c r="K1420">
        <v>0</v>
      </c>
      <c r="L1420">
        <v>124</v>
      </c>
      <c r="M1420">
        <v>425.86</v>
      </c>
      <c r="N1420">
        <v>425.86</v>
      </c>
      <c r="O1420">
        <v>248</v>
      </c>
      <c r="P1420">
        <v>177.86</v>
      </c>
    </row>
    <row r="1421" spans="1:16" x14ac:dyDescent="0.3">
      <c r="A1421" s="1">
        <v>45931</v>
      </c>
      <c r="B1421" s="2" t="s">
        <v>39</v>
      </c>
      <c r="C1421" s="2" t="s">
        <v>78</v>
      </c>
      <c r="D1421" s="2" t="s">
        <v>41</v>
      </c>
      <c r="E1421" s="2" t="s">
        <v>42</v>
      </c>
      <c r="F1421" s="2" t="s">
        <v>43</v>
      </c>
      <c r="G1421" s="2" t="s">
        <v>123</v>
      </c>
      <c r="H1421">
        <v>1</v>
      </c>
      <c r="I1421">
        <v>2</v>
      </c>
      <c r="J1421">
        <v>109.96</v>
      </c>
      <c r="K1421">
        <v>0</v>
      </c>
      <c r="L1421">
        <v>54</v>
      </c>
      <c r="M1421">
        <v>219.92</v>
      </c>
      <c r="N1421">
        <v>219.92</v>
      </c>
      <c r="O1421">
        <v>108</v>
      </c>
      <c r="P1421">
        <v>111.91999999999999</v>
      </c>
    </row>
    <row r="1422" spans="1:16" x14ac:dyDescent="0.3">
      <c r="A1422" s="1">
        <v>45931</v>
      </c>
      <c r="B1422" s="2" t="s">
        <v>39</v>
      </c>
      <c r="C1422" s="2" t="s">
        <v>40</v>
      </c>
      <c r="D1422" s="2" t="s">
        <v>46</v>
      </c>
      <c r="E1422" s="2" t="s">
        <v>42</v>
      </c>
      <c r="F1422" s="2" t="s">
        <v>43</v>
      </c>
      <c r="G1422" s="2" t="s">
        <v>228</v>
      </c>
      <c r="H1422">
        <v>2</v>
      </c>
      <c r="I1422">
        <v>4</v>
      </c>
      <c r="J1422">
        <v>197.875</v>
      </c>
      <c r="K1422">
        <v>0.1</v>
      </c>
      <c r="L1422">
        <v>118</v>
      </c>
      <c r="M1422">
        <v>612.67000000000007</v>
      </c>
      <c r="N1422">
        <v>550.64120000000003</v>
      </c>
      <c r="O1422">
        <v>344</v>
      </c>
      <c r="P1422">
        <v>206.64120000000003</v>
      </c>
    </row>
    <row r="1423" spans="1:16" x14ac:dyDescent="0.3">
      <c r="A1423" s="1">
        <v>45931</v>
      </c>
      <c r="B1423" s="2" t="s">
        <v>39</v>
      </c>
      <c r="C1423" s="2" t="s">
        <v>40</v>
      </c>
      <c r="D1423" s="2" t="s">
        <v>50</v>
      </c>
      <c r="E1423" s="2" t="s">
        <v>47</v>
      </c>
      <c r="F1423" s="2" t="s">
        <v>52</v>
      </c>
      <c r="G1423" s="2" t="s">
        <v>114</v>
      </c>
      <c r="H1423">
        <v>1</v>
      </c>
      <c r="I1423">
        <v>4</v>
      </c>
      <c r="J1423">
        <v>216.6</v>
      </c>
      <c r="K1423">
        <v>0.05</v>
      </c>
      <c r="L1423">
        <v>124</v>
      </c>
      <c r="M1423">
        <v>866.4</v>
      </c>
      <c r="N1423">
        <v>823.07999999999993</v>
      </c>
      <c r="O1423">
        <v>496</v>
      </c>
      <c r="P1423">
        <v>327.07999999999993</v>
      </c>
    </row>
    <row r="1424" spans="1:16" x14ac:dyDescent="0.3">
      <c r="A1424" s="1">
        <v>45931</v>
      </c>
      <c r="B1424" s="2" t="s">
        <v>39</v>
      </c>
      <c r="C1424" s="2" t="s">
        <v>45</v>
      </c>
      <c r="D1424" s="2" t="s">
        <v>41</v>
      </c>
      <c r="E1424" s="2" t="s">
        <v>42</v>
      </c>
      <c r="F1424" s="2" t="s">
        <v>43</v>
      </c>
      <c r="G1424" s="2" t="s">
        <v>87</v>
      </c>
      <c r="H1424">
        <v>1</v>
      </c>
      <c r="I1424">
        <v>3</v>
      </c>
      <c r="J1424">
        <v>105.91</v>
      </c>
      <c r="K1424">
        <v>0.05</v>
      </c>
      <c r="L1424">
        <v>54</v>
      </c>
      <c r="M1424">
        <v>317.73</v>
      </c>
      <c r="N1424">
        <v>301.84350000000001</v>
      </c>
      <c r="O1424">
        <v>162</v>
      </c>
      <c r="P1424">
        <v>139.84350000000001</v>
      </c>
    </row>
    <row r="1425" spans="1:16" x14ac:dyDescent="0.3">
      <c r="A1425" s="1">
        <v>45931</v>
      </c>
      <c r="B1425" s="2" t="s">
        <v>56</v>
      </c>
      <c r="C1425" s="2" t="s">
        <v>62</v>
      </c>
      <c r="D1425" s="2" t="s">
        <v>46</v>
      </c>
      <c r="E1425" s="2" t="s">
        <v>42</v>
      </c>
      <c r="F1425" s="2" t="s">
        <v>52</v>
      </c>
      <c r="G1425" s="2" t="s">
        <v>74</v>
      </c>
      <c r="H1425">
        <v>1</v>
      </c>
      <c r="I1425">
        <v>3</v>
      </c>
      <c r="J1425">
        <v>42.14</v>
      </c>
      <c r="K1425">
        <v>0.08</v>
      </c>
      <c r="L1425">
        <v>18</v>
      </c>
      <c r="M1425">
        <v>126.42</v>
      </c>
      <c r="N1425">
        <v>116.30640000000001</v>
      </c>
      <c r="O1425">
        <v>54</v>
      </c>
      <c r="P1425">
        <v>62.306400000000011</v>
      </c>
    </row>
    <row r="1426" spans="1:16" x14ac:dyDescent="0.3">
      <c r="A1426" s="1">
        <v>45931</v>
      </c>
      <c r="B1426" s="2" t="s">
        <v>65</v>
      </c>
      <c r="C1426" s="2" t="s">
        <v>66</v>
      </c>
      <c r="D1426" s="2" t="s">
        <v>41</v>
      </c>
      <c r="E1426" s="2" t="s">
        <v>51</v>
      </c>
      <c r="F1426" s="2" t="s">
        <v>43</v>
      </c>
      <c r="G1426" s="2" t="s">
        <v>176</v>
      </c>
      <c r="H1426">
        <v>1</v>
      </c>
      <c r="I1426">
        <v>7</v>
      </c>
      <c r="J1426">
        <v>165.53</v>
      </c>
      <c r="K1426">
        <v>0</v>
      </c>
      <c r="L1426">
        <v>86</v>
      </c>
      <c r="M1426">
        <v>1158.71</v>
      </c>
      <c r="N1426">
        <v>1158.71</v>
      </c>
      <c r="O1426">
        <v>602</v>
      </c>
      <c r="P1426">
        <v>556.71</v>
      </c>
    </row>
    <row r="1427" spans="1:16" x14ac:dyDescent="0.3">
      <c r="A1427" s="1">
        <v>45931</v>
      </c>
      <c r="B1427" s="2" t="s">
        <v>39</v>
      </c>
      <c r="C1427" s="2" t="s">
        <v>78</v>
      </c>
      <c r="D1427" s="2" t="s">
        <v>50</v>
      </c>
      <c r="E1427" s="2" t="s">
        <v>51</v>
      </c>
      <c r="F1427" s="2" t="s">
        <v>48</v>
      </c>
      <c r="G1427" s="2" t="s">
        <v>190</v>
      </c>
      <c r="H1427">
        <v>1</v>
      </c>
      <c r="I1427">
        <v>13</v>
      </c>
      <c r="J1427">
        <v>125.71</v>
      </c>
      <c r="K1427">
        <v>0.1</v>
      </c>
      <c r="L1427">
        <v>63</v>
      </c>
      <c r="M1427">
        <v>1634.23</v>
      </c>
      <c r="N1427">
        <v>1470.807</v>
      </c>
      <c r="O1427">
        <v>819</v>
      </c>
      <c r="P1427">
        <v>651.80700000000002</v>
      </c>
    </row>
    <row r="1428" spans="1:16" x14ac:dyDescent="0.3">
      <c r="A1428" s="1">
        <v>45931</v>
      </c>
      <c r="B1428" s="2" t="s">
        <v>39</v>
      </c>
      <c r="C1428" s="2" t="s">
        <v>78</v>
      </c>
      <c r="D1428" s="2" t="s">
        <v>50</v>
      </c>
      <c r="E1428" s="2" t="s">
        <v>51</v>
      </c>
      <c r="F1428" s="2" t="s">
        <v>52</v>
      </c>
      <c r="G1428" s="2" t="s">
        <v>190</v>
      </c>
      <c r="H1428">
        <v>1</v>
      </c>
      <c r="I1428">
        <v>9</v>
      </c>
      <c r="J1428">
        <v>187.62</v>
      </c>
      <c r="K1428">
        <v>0.1</v>
      </c>
      <c r="L1428">
        <v>124</v>
      </c>
      <c r="M1428">
        <v>1688.58</v>
      </c>
      <c r="N1428">
        <v>1519.722</v>
      </c>
      <c r="O1428">
        <v>1116</v>
      </c>
      <c r="P1428">
        <v>403.72199999999998</v>
      </c>
    </row>
    <row r="1429" spans="1:16" x14ac:dyDescent="0.3">
      <c r="A1429" s="1">
        <v>45931</v>
      </c>
      <c r="B1429" s="2" t="s">
        <v>83</v>
      </c>
      <c r="C1429" s="2" t="s">
        <v>84</v>
      </c>
      <c r="D1429" s="2" t="s">
        <v>50</v>
      </c>
      <c r="E1429" s="2" t="s">
        <v>42</v>
      </c>
      <c r="F1429" s="2" t="s">
        <v>43</v>
      </c>
      <c r="G1429" s="2" t="s">
        <v>91</v>
      </c>
      <c r="H1429">
        <v>1</v>
      </c>
      <c r="I1429">
        <v>3</v>
      </c>
      <c r="J1429">
        <v>614.65</v>
      </c>
      <c r="K1429">
        <v>0.08</v>
      </c>
      <c r="L1429">
        <v>395</v>
      </c>
      <c r="M1429">
        <v>1843.9499999999998</v>
      </c>
      <c r="N1429">
        <v>1696.434</v>
      </c>
      <c r="O1429">
        <v>1185</v>
      </c>
      <c r="P1429">
        <v>511.43399999999997</v>
      </c>
    </row>
    <row r="1430" spans="1:16" x14ac:dyDescent="0.3">
      <c r="A1430" s="1">
        <v>45931</v>
      </c>
      <c r="B1430" s="2" t="s">
        <v>39</v>
      </c>
      <c r="C1430" s="2" t="s">
        <v>152</v>
      </c>
      <c r="D1430" s="2" t="s">
        <v>41</v>
      </c>
      <c r="E1430" s="2" t="s">
        <v>42</v>
      </c>
      <c r="F1430" s="2" t="s">
        <v>43</v>
      </c>
      <c r="G1430" s="2" t="s">
        <v>153</v>
      </c>
      <c r="H1430">
        <v>1</v>
      </c>
      <c r="I1430">
        <v>1</v>
      </c>
      <c r="J1430">
        <v>173.88</v>
      </c>
      <c r="K1430">
        <v>0</v>
      </c>
      <c r="L1430">
        <v>86</v>
      </c>
      <c r="M1430">
        <v>173.88</v>
      </c>
      <c r="N1430">
        <v>173.88</v>
      </c>
      <c r="O1430">
        <v>86</v>
      </c>
      <c r="P1430">
        <v>87.88</v>
      </c>
    </row>
    <row r="1431" spans="1:16" x14ac:dyDescent="0.3">
      <c r="A1431" s="1">
        <v>45931</v>
      </c>
      <c r="B1431" s="2" t="s">
        <v>56</v>
      </c>
      <c r="C1431" s="2" t="s">
        <v>57</v>
      </c>
      <c r="D1431" s="2" t="s">
        <v>46</v>
      </c>
      <c r="E1431" s="2" t="s">
        <v>42</v>
      </c>
      <c r="F1431" s="2" t="s">
        <v>43</v>
      </c>
      <c r="G1431" s="2" t="s">
        <v>116</v>
      </c>
      <c r="H1431">
        <v>1</v>
      </c>
      <c r="I1431">
        <v>3</v>
      </c>
      <c r="J1431">
        <v>168.73</v>
      </c>
      <c r="K1431">
        <v>0.05</v>
      </c>
      <c r="L1431">
        <v>86</v>
      </c>
      <c r="M1431">
        <v>506.18999999999994</v>
      </c>
      <c r="N1431">
        <v>480.88049999999993</v>
      </c>
      <c r="O1431">
        <v>258</v>
      </c>
      <c r="P1431">
        <v>222.88049999999993</v>
      </c>
    </row>
    <row r="1432" spans="1:16" x14ac:dyDescent="0.3">
      <c r="A1432" s="1">
        <v>45931</v>
      </c>
      <c r="B1432" s="2" t="s">
        <v>39</v>
      </c>
      <c r="C1432" s="2" t="s">
        <v>54</v>
      </c>
      <c r="D1432" s="2" t="s">
        <v>41</v>
      </c>
      <c r="E1432" s="2" t="s">
        <v>47</v>
      </c>
      <c r="F1432" s="2" t="s">
        <v>43</v>
      </c>
      <c r="G1432" s="2" t="s">
        <v>86</v>
      </c>
      <c r="H1432">
        <v>1</v>
      </c>
      <c r="I1432">
        <v>1</v>
      </c>
      <c r="J1432">
        <v>634.84</v>
      </c>
      <c r="K1432">
        <v>0</v>
      </c>
      <c r="L1432">
        <v>395</v>
      </c>
      <c r="M1432">
        <v>634.84</v>
      </c>
      <c r="N1432">
        <v>634.84</v>
      </c>
      <c r="O1432">
        <v>395</v>
      </c>
      <c r="P1432">
        <v>239.84000000000003</v>
      </c>
    </row>
    <row r="1433" spans="1:16" x14ac:dyDescent="0.3">
      <c r="A1433" s="1">
        <v>45931</v>
      </c>
      <c r="B1433" s="2" t="s">
        <v>39</v>
      </c>
      <c r="C1433" s="2" t="s">
        <v>40</v>
      </c>
      <c r="D1433" s="2" t="s">
        <v>41</v>
      </c>
      <c r="E1433" s="2" t="s">
        <v>51</v>
      </c>
      <c r="F1433" s="2" t="s">
        <v>43</v>
      </c>
      <c r="G1433" s="2" t="s">
        <v>144</v>
      </c>
      <c r="H1433">
        <v>1</v>
      </c>
      <c r="I1433">
        <v>6</v>
      </c>
      <c r="J1433">
        <v>551.37</v>
      </c>
      <c r="K1433">
        <v>0.05</v>
      </c>
      <c r="L1433">
        <v>395</v>
      </c>
      <c r="M1433">
        <v>3308.2200000000003</v>
      </c>
      <c r="N1433">
        <v>3142.8090000000002</v>
      </c>
      <c r="O1433">
        <v>2370</v>
      </c>
      <c r="P1433">
        <v>772.8090000000002</v>
      </c>
    </row>
    <row r="1434" spans="1:16" x14ac:dyDescent="0.3">
      <c r="A1434" s="1">
        <v>45931</v>
      </c>
      <c r="B1434" s="2" t="s">
        <v>39</v>
      </c>
      <c r="C1434" s="2" t="s">
        <v>92</v>
      </c>
      <c r="D1434" s="2" t="s">
        <v>50</v>
      </c>
      <c r="E1434" s="2" t="s">
        <v>47</v>
      </c>
      <c r="F1434" s="2" t="s">
        <v>52</v>
      </c>
      <c r="G1434" s="2" t="s">
        <v>98</v>
      </c>
      <c r="H1434">
        <v>1</v>
      </c>
      <c r="I1434">
        <v>2</v>
      </c>
      <c r="J1434">
        <v>44.08</v>
      </c>
      <c r="K1434">
        <v>0.05</v>
      </c>
      <c r="L1434">
        <v>18</v>
      </c>
      <c r="M1434">
        <v>88.16</v>
      </c>
      <c r="N1434">
        <v>83.751999999999995</v>
      </c>
      <c r="O1434">
        <v>36</v>
      </c>
      <c r="P1434">
        <v>47.751999999999995</v>
      </c>
    </row>
    <row r="1435" spans="1:16" x14ac:dyDescent="0.3">
      <c r="A1435" s="1">
        <v>45931</v>
      </c>
      <c r="B1435" s="2" t="s">
        <v>39</v>
      </c>
      <c r="C1435" s="2" t="s">
        <v>40</v>
      </c>
      <c r="D1435" s="2" t="s">
        <v>41</v>
      </c>
      <c r="E1435" s="2" t="s">
        <v>42</v>
      </c>
      <c r="F1435" s="2" t="s">
        <v>48</v>
      </c>
      <c r="G1435" s="2" t="s">
        <v>180</v>
      </c>
      <c r="H1435">
        <v>2</v>
      </c>
      <c r="I1435">
        <v>24</v>
      </c>
      <c r="J1435">
        <v>23.7</v>
      </c>
      <c r="K1435">
        <v>0</v>
      </c>
      <c r="L1435">
        <v>8</v>
      </c>
      <c r="M1435">
        <v>579.36</v>
      </c>
      <c r="N1435">
        <v>579.36</v>
      </c>
      <c r="O1435">
        <v>192</v>
      </c>
      <c r="P1435">
        <v>387.36</v>
      </c>
    </row>
    <row r="1436" spans="1:16" x14ac:dyDescent="0.3">
      <c r="A1436" s="1">
        <v>45931</v>
      </c>
      <c r="B1436" s="2" t="s">
        <v>39</v>
      </c>
      <c r="C1436" s="2" t="s">
        <v>40</v>
      </c>
      <c r="D1436" s="2" t="s">
        <v>41</v>
      </c>
      <c r="E1436" s="2" t="s">
        <v>51</v>
      </c>
      <c r="F1436" s="2" t="s">
        <v>43</v>
      </c>
      <c r="G1436" s="2" t="s">
        <v>137</v>
      </c>
      <c r="H1436">
        <v>1</v>
      </c>
      <c r="I1436">
        <v>3</v>
      </c>
      <c r="J1436">
        <v>99.76</v>
      </c>
      <c r="K1436">
        <v>0</v>
      </c>
      <c r="L1436">
        <v>54</v>
      </c>
      <c r="M1436">
        <v>299.28000000000003</v>
      </c>
      <c r="N1436">
        <v>299.28000000000003</v>
      </c>
      <c r="O1436">
        <v>162</v>
      </c>
      <c r="P1436">
        <v>137.28000000000003</v>
      </c>
    </row>
    <row r="1437" spans="1:16" x14ac:dyDescent="0.3">
      <c r="A1437" s="1">
        <v>45931</v>
      </c>
      <c r="B1437" s="2" t="s">
        <v>39</v>
      </c>
      <c r="C1437" s="2" t="s">
        <v>40</v>
      </c>
      <c r="D1437" s="2" t="s">
        <v>46</v>
      </c>
      <c r="E1437" s="2" t="s">
        <v>51</v>
      </c>
      <c r="F1437" s="2" t="s">
        <v>48</v>
      </c>
      <c r="G1437" s="2" t="s">
        <v>228</v>
      </c>
      <c r="H1437">
        <v>1</v>
      </c>
      <c r="I1437">
        <v>17</v>
      </c>
      <c r="J1437">
        <v>67.73</v>
      </c>
      <c r="K1437">
        <v>0.12</v>
      </c>
      <c r="L1437">
        <v>31</v>
      </c>
      <c r="M1437">
        <v>1151.4100000000001</v>
      </c>
      <c r="N1437">
        <v>1013.2408</v>
      </c>
      <c r="O1437">
        <v>527</v>
      </c>
      <c r="P1437">
        <v>486.24080000000004</v>
      </c>
    </row>
    <row r="1438" spans="1:16" x14ac:dyDescent="0.3">
      <c r="A1438" s="1">
        <v>45931</v>
      </c>
      <c r="B1438" s="2" t="s">
        <v>39</v>
      </c>
      <c r="C1438" s="2" t="s">
        <v>88</v>
      </c>
      <c r="D1438" s="2" t="s">
        <v>50</v>
      </c>
      <c r="E1438" s="2" t="s">
        <v>51</v>
      </c>
      <c r="F1438" s="2" t="s">
        <v>52</v>
      </c>
      <c r="G1438" s="2" t="s">
        <v>186</v>
      </c>
      <c r="H1438">
        <v>1</v>
      </c>
      <c r="I1438">
        <v>4</v>
      </c>
      <c r="J1438">
        <v>193.34</v>
      </c>
      <c r="K1438">
        <v>0.05</v>
      </c>
      <c r="L1438">
        <v>124</v>
      </c>
      <c r="M1438">
        <v>773.36</v>
      </c>
      <c r="N1438">
        <v>734.69200000000001</v>
      </c>
      <c r="O1438">
        <v>496</v>
      </c>
      <c r="P1438">
        <v>238.69200000000001</v>
      </c>
    </row>
    <row r="1439" spans="1:16" x14ac:dyDescent="0.3">
      <c r="A1439" s="1">
        <v>45931</v>
      </c>
      <c r="B1439" s="2" t="s">
        <v>56</v>
      </c>
      <c r="C1439" s="2" t="s">
        <v>72</v>
      </c>
      <c r="D1439" s="2" t="s">
        <v>50</v>
      </c>
      <c r="E1439" s="2" t="s">
        <v>51</v>
      </c>
      <c r="F1439" s="2" t="s">
        <v>48</v>
      </c>
      <c r="G1439" s="2" t="s">
        <v>118</v>
      </c>
      <c r="H1439">
        <v>1</v>
      </c>
      <c r="I1439">
        <v>11</v>
      </c>
      <c r="J1439">
        <v>127.38</v>
      </c>
      <c r="K1439">
        <v>0.1</v>
      </c>
      <c r="L1439">
        <v>63</v>
      </c>
      <c r="M1439">
        <v>1401.1799999999998</v>
      </c>
      <c r="N1439">
        <v>1261.0619999999999</v>
      </c>
      <c r="O1439">
        <v>693</v>
      </c>
      <c r="P1439">
        <v>568.0619999999999</v>
      </c>
    </row>
    <row r="1440" spans="1:16" x14ac:dyDescent="0.3">
      <c r="A1440" s="1">
        <v>45931</v>
      </c>
      <c r="B1440" s="2" t="s">
        <v>56</v>
      </c>
      <c r="C1440" s="2" t="s">
        <v>72</v>
      </c>
      <c r="D1440" s="2" t="s">
        <v>95</v>
      </c>
      <c r="E1440" s="2" t="s">
        <v>42</v>
      </c>
      <c r="F1440" s="2" t="s">
        <v>48</v>
      </c>
      <c r="G1440" s="2" t="s">
        <v>96</v>
      </c>
      <c r="H1440">
        <v>1</v>
      </c>
      <c r="I1440">
        <v>1</v>
      </c>
      <c r="J1440">
        <v>132.6</v>
      </c>
      <c r="K1440">
        <v>0.05</v>
      </c>
      <c r="L1440">
        <v>63</v>
      </c>
      <c r="M1440">
        <v>132.6</v>
      </c>
      <c r="N1440">
        <v>125.96999999999998</v>
      </c>
      <c r="O1440">
        <v>63</v>
      </c>
      <c r="P1440">
        <v>62.969999999999985</v>
      </c>
    </row>
    <row r="1441" spans="1:16" x14ac:dyDescent="0.3">
      <c r="A1441" s="1">
        <v>45931</v>
      </c>
      <c r="B1441" s="2" t="s">
        <v>39</v>
      </c>
      <c r="C1441" s="2" t="s">
        <v>92</v>
      </c>
      <c r="D1441" s="2" t="s">
        <v>41</v>
      </c>
      <c r="E1441" s="2" t="s">
        <v>42</v>
      </c>
      <c r="F1441" s="2" t="s">
        <v>52</v>
      </c>
      <c r="G1441" s="2" t="s">
        <v>225</v>
      </c>
      <c r="H1441">
        <v>1</v>
      </c>
      <c r="I1441">
        <v>1</v>
      </c>
      <c r="J1441">
        <v>43.11</v>
      </c>
      <c r="K1441">
        <v>0</v>
      </c>
      <c r="L1441">
        <v>18</v>
      </c>
      <c r="M1441">
        <v>43.11</v>
      </c>
      <c r="N1441">
        <v>43.11</v>
      </c>
      <c r="O1441">
        <v>18</v>
      </c>
      <c r="P1441">
        <v>25.11</v>
      </c>
    </row>
    <row r="1442" spans="1:16" x14ac:dyDescent="0.3">
      <c r="A1442" s="1">
        <v>45931</v>
      </c>
      <c r="B1442" s="2" t="s">
        <v>39</v>
      </c>
      <c r="C1442" s="2" t="s">
        <v>88</v>
      </c>
      <c r="D1442" s="2" t="s">
        <v>50</v>
      </c>
      <c r="E1442" s="2" t="s">
        <v>47</v>
      </c>
      <c r="F1442" s="2" t="s">
        <v>52</v>
      </c>
      <c r="G1442" s="2" t="s">
        <v>125</v>
      </c>
      <c r="H1442">
        <v>1</v>
      </c>
      <c r="I1442">
        <v>2</v>
      </c>
      <c r="J1442">
        <v>217.96</v>
      </c>
      <c r="K1442">
        <v>0.12</v>
      </c>
      <c r="L1442">
        <v>124</v>
      </c>
      <c r="M1442">
        <v>435.92</v>
      </c>
      <c r="N1442">
        <v>383.6096</v>
      </c>
      <c r="O1442">
        <v>248</v>
      </c>
      <c r="P1442">
        <v>135.6096</v>
      </c>
    </row>
    <row r="1443" spans="1:16" x14ac:dyDescent="0.3">
      <c r="A1443" s="1">
        <v>45931</v>
      </c>
      <c r="B1443" s="2" t="s">
        <v>39</v>
      </c>
      <c r="C1443" s="2" t="s">
        <v>78</v>
      </c>
      <c r="D1443" s="2" t="s">
        <v>41</v>
      </c>
      <c r="E1443" s="2" t="s">
        <v>47</v>
      </c>
      <c r="F1443" s="2" t="s">
        <v>43</v>
      </c>
      <c r="G1443" s="2" t="s">
        <v>58</v>
      </c>
      <c r="H1443">
        <v>1</v>
      </c>
      <c r="I1443">
        <v>4</v>
      </c>
      <c r="J1443">
        <v>177.36</v>
      </c>
      <c r="K1443">
        <v>0</v>
      </c>
      <c r="L1443">
        <v>86</v>
      </c>
      <c r="M1443">
        <v>709.44</v>
      </c>
      <c r="N1443">
        <v>709.44</v>
      </c>
      <c r="O1443">
        <v>344</v>
      </c>
      <c r="P1443">
        <v>365.44000000000005</v>
      </c>
    </row>
    <row r="1444" spans="1:16" x14ac:dyDescent="0.3">
      <c r="A1444" s="1">
        <v>45931</v>
      </c>
      <c r="B1444" s="2" t="s">
        <v>39</v>
      </c>
      <c r="C1444" s="2" t="s">
        <v>88</v>
      </c>
      <c r="D1444" s="2" t="s">
        <v>50</v>
      </c>
      <c r="E1444" s="2" t="s">
        <v>42</v>
      </c>
      <c r="F1444" s="2" t="s">
        <v>43</v>
      </c>
      <c r="G1444" s="2" t="s">
        <v>140</v>
      </c>
      <c r="H1444">
        <v>3</v>
      </c>
      <c r="I1444">
        <v>4</v>
      </c>
      <c r="J1444">
        <v>3580.833333333333</v>
      </c>
      <c r="K1444">
        <v>6.6666666666666666E-2</v>
      </c>
      <c r="L1444">
        <v>107.33333333333333</v>
      </c>
      <c r="M1444">
        <v>11041.01</v>
      </c>
      <c r="N1444">
        <v>10480.06</v>
      </c>
      <c r="O1444">
        <v>504</v>
      </c>
      <c r="P1444">
        <v>9976.06</v>
      </c>
    </row>
    <row r="1445" spans="1:16" x14ac:dyDescent="0.3">
      <c r="A1445" s="1">
        <v>45931</v>
      </c>
      <c r="B1445" s="2" t="s">
        <v>39</v>
      </c>
      <c r="C1445" s="2" t="s">
        <v>54</v>
      </c>
      <c r="D1445" s="2" t="s">
        <v>41</v>
      </c>
      <c r="E1445" s="2" t="s">
        <v>47</v>
      </c>
      <c r="F1445" s="2" t="s">
        <v>48</v>
      </c>
      <c r="G1445" s="2" t="s">
        <v>171</v>
      </c>
      <c r="H1445">
        <v>2</v>
      </c>
      <c r="I1445">
        <v>9</v>
      </c>
      <c r="J1445">
        <v>139.87</v>
      </c>
      <c r="K1445">
        <v>0</v>
      </c>
      <c r="L1445">
        <v>63</v>
      </c>
      <c r="M1445">
        <v>1248.6300000000001</v>
      </c>
      <c r="N1445">
        <v>1248.6300000000001</v>
      </c>
      <c r="O1445">
        <v>567</v>
      </c>
      <c r="P1445">
        <v>681.63</v>
      </c>
    </row>
    <row r="1446" spans="1:16" x14ac:dyDescent="0.3">
      <c r="A1446" s="1">
        <v>45931</v>
      </c>
      <c r="B1446" s="2" t="s">
        <v>83</v>
      </c>
      <c r="C1446" s="2" t="s">
        <v>84</v>
      </c>
      <c r="D1446" s="2" t="s">
        <v>46</v>
      </c>
      <c r="E1446" s="2" t="s">
        <v>42</v>
      </c>
      <c r="F1446" s="2" t="s">
        <v>43</v>
      </c>
      <c r="G1446" s="2" t="s">
        <v>191</v>
      </c>
      <c r="H1446">
        <v>1</v>
      </c>
      <c r="I1446">
        <v>1</v>
      </c>
      <c r="J1446">
        <v>1201.42</v>
      </c>
      <c r="K1446">
        <v>0.1</v>
      </c>
      <c r="L1446">
        <v>760</v>
      </c>
      <c r="M1446">
        <v>1201.42</v>
      </c>
      <c r="N1446">
        <v>1081.278</v>
      </c>
      <c r="O1446">
        <v>760</v>
      </c>
      <c r="P1446">
        <v>321.27800000000002</v>
      </c>
    </row>
    <row r="1447" spans="1:16" x14ac:dyDescent="0.3">
      <c r="A1447" s="1">
        <v>45931</v>
      </c>
      <c r="B1447" s="2" t="s">
        <v>56</v>
      </c>
      <c r="C1447" s="2" t="s">
        <v>62</v>
      </c>
      <c r="D1447" s="2" t="s">
        <v>41</v>
      </c>
      <c r="E1447" s="2" t="s">
        <v>47</v>
      </c>
      <c r="F1447" s="2" t="s">
        <v>43</v>
      </c>
      <c r="G1447" s="2" t="s">
        <v>142</v>
      </c>
      <c r="H1447">
        <v>2</v>
      </c>
      <c r="I1447">
        <v>3</v>
      </c>
      <c r="J1447">
        <v>771.36500000000001</v>
      </c>
      <c r="K1447">
        <v>2.5000000000000001E-2</v>
      </c>
      <c r="L1447">
        <v>471</v>
      </c>
      <c r="M1447">
        <v>2780.29</v>
      </c>
      <c r="N1447">
        <v>2656.5339999999997</v>
      </c>
      <c r="O1447">
        <v>1702</v>
      </c>
      <c r="P1447">
        <v>954.53399999999965</v>
      </c>
    </row>
    <row r="1448" spans="1:16" x14ac:dyDescent="0.3">
      <c r="A1448" s="1">
        <v>45931</v>
      </c>
      <c r="B1448" s="2" t="s">
        <v>83</v>
      </c>
      <c r="C1448" s="2" t="s">
        <v>84</v>
      </c>
      <c r="D1448" s="2" t="s">
        <v>41</v>
      </c>
      <c r="E1448" s="2" t="s">
        <v>51</v>
      </c>
      <c r="F1448" s="2" t="s">
        <v>52</v>
      </c>
      <c r="G1448" s="2" t="s">
        <v>157</v>
      </c>
      <c r="H1448">
        <v>1</v>
      </c>
      <c r="I1448">
        <v>4</v>
      </c>
      <c r="J1448">
        <v>37.85</v>
      </c>
      <c r="K1448">
        <v>0</v>
      </c>
      <c r="L1448">
        <v>18</v>
      </c>
      <c r="M1448">
        <v>151.4</v>
      </c>
      <c r="N1448">
        <v>151.4</v>
      </c>
      <c r="O1448">
        <v>72</v>
      </c>
      <c r="P1448">
        <v>79.400000000000006</v>
      </c>
    </row>
    <row r="1449" spans="1:16" x14ac:dyDescent="0.3">
      <c r="A1449" s="1">
        <v>45931</v>
      </c>
      <c r="B1449" s="2" t="s">
        <v>83</v>
      </c>
      <c r="C1449" s="2" t="s">
        <v>84</v>
      </c>
      <c r="D1449" s="2" t="s">
        <v>41</v>
      </c>
      <c r="E1449" s="2" t="s">
        <v>47</v>
      </c>
      <c r="F1449" s="2" t="s">
        <v>48</v>
      </c>
      <c r="G1449" s="2" t="s">
        <v>85</v>
      </c>
      <c r="H1449">
        <v>1</v>
      </c>
      <c r="I1449">
        <v>5</v>
      </c>
      <c r="J1449">
        <v>137.34</v>
      </c>
      <c r="K1449">
        <v>0.1</v>
      </c>
      <c r="L1449">
        <v>63</v>
      </c>
      <c r="M1449">
        <v>686.7</v>
      </c>
      <c r="N1449">
        <v>618.03000000000009</v>
      </c>
      <c r="O1449">
        <v>315</v>
      </c>
      <c r="P1449">
        <v>303.03000000000009</v>
      </c>
    </row>
    <row r="1450" spans="1:16" x14ac:dyDescent="0.3">
      <c r="A1450" s="1">
        <v>45962</v>
      </c>
      <c r="B1450" s="2" t="s">
        <v>83</v>
      </c>
      <c r="C1450" s="2" t="s">
        <v>164</v>
      </c>
      <c r="D1450" s="2" t="s">
        <v>50</v>
      </c>
      <c r="E1450" s="2" t="s">
        <v>47</v>
      </c>
      <c r="F1450" s="2" t="s">
        <v>48</v>
      </c>
      <c r="G1450" s="2" t="s">
        <v>165</v>
      </c>
      <c r="H1450">
        <v>2</v>
      </c>
      <c r="I1450">
        <v>5</v>
      </c>
      <c r="J1450">
        <v>108.9</v>
      </c>
      <c r="K1450">
        <v>7.5000000000000011E-2</v>
      </c>
      <c r="L1450">
        <v>170.5</v>
      </c>
      <c r="M1450">
        <v>579.76</v>
      </c>
      <c r="N1450">
        <v>529.14800000000002</v>
      </c>
      <c r="O1450">
        <v>992</v>
      </c>
      <c r="P1450">
        <v>-462.85200000000003</v>
      </c>
    </row>
    <row r="1451" spans="1:16" x14ac:dyDescent="0.3">
      <c r="A1451" s="1">
        <v>45962</v>
      </c>
      <c r="B1451" s="2" t="s">
        <v>56</v>
      </c>
      <c r="C1451" s="2" t="s">
        <v>62</v>
      </c>
      <c r="D1451" s="2" t="s">
        <v>46</v>
      </c>
      <c r="E1451" s="2" t="s">
        <v>42</v>
      </c>
      <c r="F1451" s="2" t="s">
        <v>43</v>
      </c>
      <c r="G1451" s="2" t="s">
        <v>74</v>
      </c>
      <c r="H1451">
        <v>1</v>
      </c>
      <c r="I1451">
        <v>3</v>
      </c>
      <c r="J1451">
        <v>292.64</v>
      </c>
      <c r="K1451">
        <v>0.1</v>
      </c>
      <c r="L1451">
        <v>182</v>
      </c>
      <c r="M1451">
        <v>877.92</v>
      </c>
      <c r="N1451">
        <v>790.12799999999993</v>
      </c>
      <c r="O1451">
        <v>546</v>
      </c>
      <c r="P1451">
        <v>244.12799999999993</v>
      </c>
    </row>
    <row r="1452" spans="1:16" x14ac:dyDescent="0.3">
      <c r="A1452" s="1">
        <v>45962</v>
      </c>
      <c r="B1452" s="2" t="s">
        <v>39</v>
      </c>
      <c r="C1452" s="2" t="s">
        <v>88</v>
      </c>
      <c r="D1452" s="2" t="s">
        <v>50</v>
      </c>
      <c r="E1452" s="2" t="s">
        <v>47</v>
      </c>
      <c r="F1452" s="2" t="s">
        <v>43</v>
      </c>
      <c r="G1452" s="2" t="s">
        <v>192</v>
      </c>
      <c r="H1452">
        <v>2</v>
      </c>
      <c r="I1452">
        <v>4</v>
      </c>
      <c r="J1452">
        <v>765.125</v>
      </c>
      <c r="K1452">
        <v>8.4999999999999992E-2</v>
      </c>
      <c r="L1452">
        <v>471</v>
      </c>
      <c r="M1452">
        <v>3060.5</v>
      </c>
      <c r="N1452">
        <v>2864.0007999999998</v>
      </c>
      <c r="O1452">
        <v>1884</v>
      </c>
      <c r="P1452">
        <v>980.0007999999998</v>
      </c>
    </row>
    <row r="1453" spans="1:16" x14ac:dyDescent="0.3">
      <c r="A1453" s="1">
        <v>45962</v>
      </c>
      <c r="B1453" s="2" t="s">
        <v>39</v>
      </c>
      <c r="C1453" s="2" t="s">
        <v>88</v>
      </c>
      <c r="D1453" s="2" t="s">
        <v>41</v>
      </c>
      <c r="E1453" s="2" t="s">
        <v>42</v>
      </c>
      <c r="F1453" s="2" t="s">
        <v>48</v>
      </c>
      <c r="G1453" s="2" t="s">
        <v>136</v>
      </c>
      <c r="H1453">
        <v>1</v>
      </c>
      <c r="I1453">
        <v>1</v>
      </c>
      <c r="J1453">
        <v>23.31</v>
      </c>
      <c r="K1453">
        <v>0</v>
      </c>
      <c r="L1453">
        <v>8</v>
      </c>
      <c r="M1453">
        <v>23.31</v>
      </c>
      <c r="N1453">
        <v>23.31</v>
      </c>
      <c r="O1453">
        <v>8</v>
      </c>
      <c r="P1453">
        <v>15.309999999999999</v>
      </c>
    </row>
    <row r="1454" spans="1:16" x14ac:dyDescent="0.3">
      <c r="A1454" s="1">
        <v>45962</v>
      </c>
      <c r="B1454" s="2" t="s">
        <v>65</v>
      </c>
      <c r="C1454" s="2" t="s">
        <v>66</v>
      </c>
      <c r="D1454" s="2" t="s">
        <v>50</v>
      </c>
      <c r="E1454" s="2" t="s">
        <v>47</v>
      </c>
      <c r="F1454" s="2" t="s">
        <v>43</v>
      </c>
      <c r="G1454" s="2" t="s">
        <v>195</v>
      </c>
      <c r="H1454">
        <v>1</v>
      </c>
      <c r="I1454">
        <v>3</v>
      </c>
      <c r="J1454">
        <v>652.39</v>
      </c>
      <c r="K1454">
        <v>0.08</v>
      </c>
      <c r="L1454">
        <v>395</v>
      </c>
      <c r="M1454">
        <v>1957.17</v>
      </c>
      <c r="N1454">
        <v>1800.5964000000001</v>
      </c>
      <c r="O1454">
        <v>1185</v>
      </c>
      <c r="P1454">
        <v>615.59640000000013</v>
      </c>
    </row>
    <row r="1455" spans="1:16" x14ac:dyDescent="0.3">
      <c r="A1455" s="1">
        <v>45962</v>
      </c>
      <c r="B1455" s="2" t="s">
        <v>39</v>
      </c>
      <c r="C1455" s="2" t="s">
        <v>45</v>
      </c>
      <c r="D1455" s="2" t="s">
        <v>41</v>
      </c>
      <c r="E1455" s="2" t="s">
        <v>47</v>
      </c>
      <c r="F1455" s="2" t="s">
        <v>48</v>
      </c>
      <c r="G1455" s="2" t="s">
        <v>94</v>
      </c>
      <c r="H1455">
        <v>1</v>
      </c>
      <c r="I1455">
        <v>6</v>
      </c>
      <c r="J1455">
        <v>93.55</v>
      </c>
      <c r="K1455">
        <v>0</v>
      </c>
      <c r="L1455">
        <v>39</v>
      </c>
      <c r="M1455">
        <v>561.29999999999995</v>
      </c>
      <c r="N1455">
        <v>561.29999999999995</v>
      </c>
      <c r="O1455">
        <v>234</v>
      </c>
      <c r="P1455">
        <v>327.29999999999995</v>
      </c>
    </row>
    <row r="1456" spans="1:16" x14ac:dyDescent="0.3">
      <c r="A1456" s="1">
        <v>45962</v>
      </c>
      <c r="B1456" s="2" t="s">
        <v>39</v>
      </c>
      <c r="C1456" s="2" t="s">
        <v>92</v>
      </c>
      <c r="D1456" s="2" t="s">
        <v>50</v>
      </c>
      <c r="E1456" s="2" t="s">
        <v>47</v>
      </c>
      <c r="F1456" s="2" t="s">
        <v>52</v>
      </c>
      <c r="G1456" s="2" t="s">
        <v>130</v>
      </c>
      <c r="H1456">
        <v>1</v>
      </c>
      <c r="I1456">
        <v>1</v>
      </c>
      <c r="J1456">
        <v>43.51</v>
      </c>
      <c r="K1456">
        <v>0.1</v>
      </c>
      <c r="L1456">
        <v>18</v>
      </c>
      <c r="M1456">
        <v>43.51</v>
      </c>
      <c r="N1456">
        <v>39.158999999999999</v>
      </c>
      <c r="O1456">
        <v>18</v>
      </c>
      <c r="P1456">
        <v>21.158999999999999</v>
      </c>
    </row>
    <row r="1457" spans="1:16" x14ac:dyDescent="0.3">
      <c r="A1457" s="1">
        <v>45962</v>
      </c>
      <c r="B1457" s="2" t="s">
        <v>39</v>
      </c>
      <c r="C1457" s="2" t="s">
        <v>92</v>
      </c>
      <c r="D1457" s="2" t="s">
        <v>50</v>
      </c>
      <c r="E1457" s="2" t="s">
        <v>47</v>
      </c>
      <c r="F1457" s="2" t="s">
        <v>48</v>
      </c>
      <c r="G1457" s="2" t="s">
        <v>130</v>
      </c>
      <c r="H1457">
        <v>1</v>
      </c>
      <c r="I1457">
        <v>5</v>
      </c>
      <c r="J1457">
        <v>94.53</v>
      </c>
      <c r="K1457">
        <v>0.1</v>
      </c>
      <c r="L1457">
        <v>39</v>
      </c>
      <c r="M1457">
        <v>472.65</v>
      </c>
      <c r="N1457">
        <v>425.38499999999999</v>
      </c>
      <c r="O1457">
        <v>195</v>
      </c>
      <c r="P1457">
        <v>230.38499999999999</v>
      </c>
    </row>
    <row r="1458" spans="1:16" x14ac:dyDescent="0.3">
      <c r="A1458" s="1">
        <v>45962</v>
      </c>
      <c r="B1458" s="2" t="s">
        <v>39</v>
      </c>
      <c r="C1458" s="2" t="s">
        <v>40</v>
      </c>
      <c r="D1458" s="2" t="s">
        <v>50</v>
      </c>
      <c r="E1458" s="2" t="s">
        <v>42</v>
      </c>
      <c r="F1458" s="2" t="s">
        <v>52</v>
      </c>
      <c r="G1458" s="2" t="s">
        <v>122</v>
      </c>
      <c r="H1458">
        <v>1</v>
      </c>
      <c r="I1458">
        <v>3</v>
      </c>
      <c r="J1458">
        <v>44.41</v>
      </c>
      <c r="K1458">
        <v>0</v>
      </c>
      <c r="L1458">
        <v>18</v>
      </c>
      <c r="M1458">
        <v>133.22999999999999</v>
      </c>
      <c r="N1458">
        <v>133.22999999999999</v>
      </c>
      <c r="O1458">
        <v>54</v>
      </c>
      <c r="P1458">
        <v>79.22999999999999</v>
      </c>
    </row>
    <row r="1459" spans="1:16" x14ac:dyDescent="0.3">
      <c r="A1459" s="1">
        <v>45962</v>
      </c>
      <c r="B1459" s="2" t="s">
        <v>39</v>
      </c>
      <c r="C1459" s="2" t="s">
        <v>92</v>
      </c>
      <c r="D1459" s="2" t="s">
        <v>50</v>
      </c>
      <c r="E1459" s="2" t="s">
        <v>47</v>
      </c>
      <c r="F1459" s="2" t="s">
        <v>48</v>
      </c>
      <c r="G1459" s="2" t="s">
        <v>104</v>
      </c>
      <c r="H1459">
        <v>3</v>
      </c>
      <c r="I1459">
        <v>10</v>
      </c>
      <c r="J1459">
        <v>65.303333333333342</v>
      </c>
      <c r="K1459">
        <v>7.3333333333333334E-2</v>
      </c>
      <c r="L1459">
        <v>26</v>
      </c>
      <c r="M1459">
        <v>490.1</v>
      </c>
      <c r="N1459">
        <v>457.3356</v>
      </c>
      <c r="O1459">
        <v>188</v>
      </c>
      <c r="P1459">
        <v>269.3356</v>
      </c>
    </row>
    <row r="1460" spans="1:16" x14ac:dyDescent="0.3">
      <c r="A1460" s="1">
        <v>45962</v>
      </c>
      <c r="B1460" s="2" t="s">
        <v>39</v>
      </c>
      <c r="C1460" s="2" t="s">
        <v>92</v>
      </c>
      <c r="D1460" s="2" t="s">
        <v>46</v>
      </c>
      <c r="E1460" s="2" t="s">
        <v>42</v>
      </c>
      <c r="F1460" s="2" t="s">
        <v>43</v>
      </c>
      <c r="G1460" s="2" t="s">
        <v>184</v>
      </c>
      <c r="H1460">
        <v>2</v>
      </c>
      <c r="I1460">
        <v>5</v>
      </c>
      <c r="J1460">
        <v>353.48</v>
      </c>
      <c r="K1460">
        <v>7.5000000000000011E-2</v>
      </c>
      <c r="L1460">
        <v>224.5</v>
      </c>
      <c r="M1460">
        <v>1520.71</v>
      </c>
      <c r="N1460">
        <v>1428.6559999999999</v>
      </c>
      <c r="O1460">
        <v>952</v>
      </c>
      <c r="P1460">
        <v>476.65599999999989</v>
      </c>
    </row>
    <row r="1461" spans="1:16" x14ac:dyDescent="0.3">
      <c r="A1461" s="1">
        <v>45962</v>
      </c>
      <c r="B1461" s="2" t="s">
        <v>39</v>
      </c>
      <c r="C1461" s="2" t="s">
        <v>92</v>
      </c>
      <c r="D1461" s="2" t="s">
        <v>50</v>
      </c>
      <c r="E1461" s="2" t="s">
        <v>42</v>
      </c>
      <c r="F1461" s="2" t="s">
        <v>52</v>
      </c>
      <c r="G1461" s="2" t="s">
        <v>98</v>
      </c>
      <c r="H1461">
        <v>1</v>
      </c>
      <c r="I1461">
        <v>1</v>
      </c>
      <c r="J1461">
        <v>206.9</v>
      </c>
      <c r="K1461">
        <v>0.08</v>
      </c>
      <c r="L1461">
        <v>124</v>
      </c>
      <c r="M1461">
        <v>206.9</v>
      </c>
      <c r="N1461">
        <v>190.34800000000001</v>
      </c>
      <c r="O1461">
        <v>124</v>
      </c>
      <c r="P1461">
        <v>66.348000000000013</v>
      </c>
    </row>
    <row r="1462" spans="1:16" x14ac:dyDescent="0.3">
      <c r="A1462" s="1">
        <v>45962</v>
      </c>
      <c r="B1462" s="2" t="s">
        <v>39</v>
      </c>
      <c r="C1462" s="2" t="s">
        <v>92</v>
      </c>
      <c r="D1462" s="2" t="s">
        <v>50</v>
      </c>
      <c r="E1462" s="2" t="s">
        <v>42</v>
      </c>
      <c r="F1462" s="2" t="s">
        <v>48</v>
      </c>
      <c r="G1462" s="2" t="s">
        <v>98</v>
      </c>
      <c r="H1462">
        <v>1</v>
      </c>
      <c r="I1462">
        <v>2</v>
      </c>
      <c r="J1462">
        <v>23.08</v>
      </c>
      <c r="K1462">
        <v>0.08</v>
      </c>
      <c r="L1462">
        <v>8</v>
      </c>
      <c r="M1462">
        <v>46.16</v>
      </c>
      <c r="N1462">
        <v>42.467199999999998</v>
      </c>
      <c r="O1462">
        <v>16</v>
      </c>
      <c r="P1462">
        <v>26.467199999999998</v>
      </c>
    </row>
    <row r="1463" spans="1:16" x14ac:dyDescent="0.3">
      <c r="A1463" s="1">
        <v>45962</v>
      </c>
      <c r="B1463" s="2" t="s">
        <v>65</v>
      </c>
      <c r="C1463" s="2" t="s">
        <v>80</v>
      </c>
      <c r="D1463" s="2" t="s">
        <v>50</v>
      </c>
      <c r="E1463" s="2" t="s">
        <v>47</v>
      </c>
      <c r="F1463" s="2" t="s">
        <v>43</v>
      </c>
      <c r="G1463" s="2" t="s">
        <v>81</v>
      </c>
      <c r="H1463">
        <v>1</v>
      </c>
      <c r="I1463">
        <v>4</v>
      </c>
      <c r="J1463">
        <v>108.18</v>
      </c>
      <c r="K1463">
        <v>0.05</v>
      </c>
      <c r="L1463">
        <v>54</v>
      </c>
      <c r="M1463">
        <v>432.72</v>
      </c>
      <c r="N1463">
        <v>411.084</v>
      </c>
      <c r="O1463">
        <v>216</v>
      </c>
      <c r="P1463">
        <v>195.084</v>
      </c>
    </row>
    <row r="1464" spans="1:16" x14ac:dyDescent="0.3">
      <c r="A1464" s="1">
        <v>45962</v>
      </c>
      <c r="B1464" s="2" t="s">
        <v>65</v>
      </c>
      <c r="C1464" s="2" t="s">
        <v>80</v>
      </c>
      <c r="D1464" s="2" t="s">
        <v>50</v>
      </c>
      <c r="E1464" s="2" t="s">
        <v>47</v>
      </c>
      <c r="F1464" s="2" t="s">
        <v>48</v>
      </c>
      <c r="G1464" s="2" t="s">
        <v>81</v>
      </c>
      <c r="H1464">
        <v>1</v>
      </c>
      <c r="I1464">
        <v>6</v>
      </c>
      <c r="J1464">
        <v>24.77</v>
      </c>
      <c r="K1464">
        <v>0.08</v>
      </c>
      <c r="L1464">
        <v>8</v>
      </c>
      <c r="M1464">
        <v>148.62</v>
      </c>
      <c r="N1464">
        <v>136.7304</v>
      </c>
      <c r="O1464">
        <v>48</v>
      </c>
      <c r="P1464">
        <v>88.730400000000003</v>
      </c>
    </row>
    <row r="1465" spans="1:16" x14ac:dyDescent="0.3">
      <c r="A1465" s="1">
        <v>45962</v>
      </c>
      <c r="B1465" s="2" t="s">
        <v>39</v>
      </c>
      <c r="C1465" s="2" t="s">
        <v>78</v>
      </c>
      <c r="D1465" s="2" t="s">
        <v>41</v>
      </c>
      <c r="E1465" s="2" t="s">
        <v>42</v>
      </c>
      <c r="F1465" s="2" t="s">
        <v>43</v>
      </c>
      <c r="G1465" s="2" t="s">
        <v>217</v>
      </c>
      <c r="H1465">
        <v>2</v>
      </c>
      <c r="I1465">
        <v>5</v>
      </c>
      <c r="J1465">
        <v>739.20499999999993</v>
      </c>
      <c r="K1465">
        <v>0</v>
      </c>
      <c r="L1465">
        <v>471</v>
      </c>
      <c r="M1465">
        <v>4134.38</v>
      </c>
      <c r="N1465">
        <v>4134.38</v>
      </c>
      <c r="O1465">
        <v>2644</v>
      </c>
      <c r="P1465">
        <v>1490.3799999999999</v>
      </c>
    </row>
    <row r="1466" spans="1:16" x14ac:dyDescent="0.3">
      <c r="A1466" s="1">
        <v>45962</v>
      </c>
      <c r="B1466" s="2" t="s">
        <v>39</v>
      </c>
      <c r="C1466" s="2" t="s">
        <v>45</v>
      </c>
      <c r="D1466" s="2" t="s">
        <v>50</v>
      </c>
      <c r="E1466" s="2" t="s">
        <v>47</v>
      </c>
      <c r="F1466" s="2" t="s">
        <v>43</v>
      </c>
      <c r="G1466" s="2" t="s">
        <v>209</v>
      </c>
      <c r="H1466">
        <v>2</v>
      </c>
      <c r="I1466">
        <v>5</v>
      </c>
      <c r="J1466">
        <v>752.48</v>
      </c>
      <c r="K1466">
        <v>0.1</v>
      </c>
      <c r="L1466">
        <v>471</v>
      </c>
      <c r="M1466">
        <v>5116</v>
      </c>
      <c r="N1466">
        <v>4694.6688000000004</v>
      </c>
      <c r="O1466">
        <v>3222</v>
      </c>
      <c r="P1466">
        <v>1472.6688000000004</v>
      </c>
    </row>
    <row r="1467" spans="1:16" x14ac:dyDescent="0.3">
      <c r="A1467" s="1">
        <v>45962</v>
      </c>
      <c r="B1467" s="2" t="s">
        <v>39</v>
      </c>
      <c r="C1467" s="2" t="s">
        <v>45</v>
      </c>
      <c r="D1467" s="2" t="s">
        <v>50</v>
      </c>
      <c r="E1467" s="2" t="s">
        <v>47</v>
      </c>
      <c r="F1467" s="2" t="s">
        <v>48</v>
      </c>
      <c r="G1467" s="2" t="s">
        <v>209</v>
      </c>
      <c r="H1467">
        <v>1</v>
      </c>
      <c r="I1467">
        <v>6</v>
      </c>
      <c r="J1467">
        <v>75.959999999999994</v>
      </c>
      <c r="K1467">
        <v>0.08</v>
      </c>
      <c r="L1467">
        <v>31</v>
      </c>
      <c r="M1467">
        <v>455.76</v>
      </c>
      <c r="N1467">
        <v>419.29919999999998</v>
      </c>
      <c r="O1467">
        <v>186</v>
      </c>
      <c r="P1467">
        <v>233.29919999999998</v>
      </c>
    </row>
    <row r="1468" spans="1:16" x14ac:dyDescent="0.3">
      <c r="A1468" s="1">
        <v>45962</v>
      </c>
      <c r="B1468" s="2" t="s">
        <v>39</v>
      </c>
      <c r="C1468" s="2" t="s">
        <v>40</v>
      </c>
      <c r="D1468" s="2" t="s">
        <v>50</v>
      </c>
      <c r="E1468" s="2" t="s">
        <v>42</v>
      </c>
      <c r="F1468" s="2" t="s">
        <v>43</v>
      </c>
      <c r="G1468" s="2" t="s">
        <v>103</v>
      </c>
      <c r="H1468">
        <v>1</v>
      </c>
      <c r="I1468">
        <v>2</v>
      </c>
      <c r="J1468">
        <v>1140.49</v>
      </c>
      <c r="K1468">
        <v>0.05</v>
      </c>
      <c r="L1468">
        <v>760</v>
      </c>
      <c r="M1468">
        <v>2280.98</v>
      </c>
      <c r="N1468">
        <v>2166.931</v>
      </c>
      <c r="O1468">
        <v>1520</v>
      </c>
      <c r="P1468">
        <v>646.93100000000004</v>
      </c>
    </row>
    <row r="1469" spans="1:16" x14ac:dyDescent="0.3">
      <c r="A1469" s="1">
        <v>45962</v>
      </c>
      <c r="B1469" s="2" t="s">
        <v>65</v>
      </c>
      <c r="C1469" s="2" t="s">
        <v>66</v>
      </c>
      <c r="D1469" s="2" t="s">
        <v>50</v>
      </c>
      <c r="E1469" s="2" t="s">
        <v>47</v>
      </c>
      <c r="F1469" s="2" t="s">
        <v>43</v>
      </c>
      <c r="G1469" s="2" t="s">
        <v>103</v>
      </c>
      <c r="H1469">
        <v>1</v>
      </c>
      <c r="I1469">
        <v>3</v>
      </c>
      <c r="J1469">
        <v>112.67</v>
      </c>
      <c r="K1469">
        <v>0.12</v>
      </c>
      <c r="L1469">
        <v>54</v>
      </c>
      <c r="M1469">
        <v>338.01</v>
      </c>
      <c r="N1469">
        <v>297.44880000000001</v>
      </c>
      <c r="O1469">
        <v>162</v>
      </c>
      <c r="P1469">
        <v>135.44880000000001</v>
      </c>
    </row>
    <row r="1470" spans="1:16" x14ac:dyDescent="0.3">
      <c r="A1470" s="1">
        <v>45962</v>
      </c>
      <c r="B1470" s="2" t="s">
        <v>65</v>
      </c>
      <c r="C1470" s="2" t="s">
        <v>66</v>
      </c>
      <c r="D1470" s="2" t="s">
        <v>50</v>
      </c>
      <c r="E1470" s="2" t="s">
        <v>47</v>
      </c>
      <c r="F1470" s="2" t="s">
        <v>52</v>
      </c>
      <c r="G1470" s="2" t="s">
        <v>103</v>
      </c>
      <c r="H1470">
        <v>1</v>
      </c>
      <c r="I1470">
        <v>2</v>
      </c>
      <c r="J1470">
        <v>211.82</v>
      </c>
      <c r="K1470">
        <v>0.05</v>
      </c>
      <c r="L1470">
        <v>124</v>
      </c>
      <c r="M1470">
        <v>423.64</v>
      </c>
      <c r="N1470">
        <v>402.45799999999997</v>
      </c>
      <c r="O1470">
        <v>248</v>
      </c>
      <c r="P1470">
        <v>154.45799999999997</v>
      </c>
    </row>
    <row r="1471" spans="1:16" x14ac:dyDescent="0.3">
      <c r="A1471" s="1">
        <v>45962</v>
      </c>
      <c r="B1471" s="2" t="s">
        <v>39</v>
      </c>
      <c r="C1471" s="2" t="s">
        <v>40</v>
      </c>
      <c r="D1471" s="2" t="s">
        <v>50</v>
      </c>
      <c r="E1471" s="2" t="s">
        <v>47</v>
      </c>
      <c r="F1471" s="2" t="s">
        <v>52</v>
      </c>
      <c r="G1471" s="2" t="s">
        <v>82</v>
      </c>
      <c r="H1471">
        <v>1</v>
      </c>
      <c r="I1471">
        <v>3</v>
      </c>
      <c r="J1471">
        <v>43.8</v>
      </c>
      <c r="K1471">
        <v>0.12</v>
      </c>
      <c r="L1471">
        <v>18</v>
      </c>
      <c r="M1471">
        <v>131.39999999999998</v>
      </c>
      <c r="N1471">
        <v>115.63199999999998</v>
      </c>
      <c r="O1471">
        <v>54</v>
      </c>
      <c r="P1471">
        <v>61.631999999999977</v>
      </c>
    </row>
    <row r="1472" spans="1:16" x14ac:dyDescent="0.3">
      <c r="A1472" s="1">
        <v>45962</v>
      </c>
      <c r="B1472" s="2" t="s">
        <v>75</v>
      </c>
      <c r="C1472" s="2" t="s">
        <v>106</v>
      </c>
      <c r="D1472" s="2" t="s">
        <v>41</v>
      </c>
      <c r="E1472" s="2" t="s">
        <v>42</v>
      </c>
      <c r="F1472" s="2" t="s">
        <v>48</v>
      </c>
      <c r="G1472" s="2" t="s">
        <v>132</v>
      </c>
      <c r="H1472">
        <v>2</v>
      </c>
      <c r="I1472">
        <v>4</v>
      </c>
      <c r="J1472">
        <v>112.535</v>
      </c>
      <c r="K1472">
        <v>0</v>
      </c>
      <c r="L1472">
        <v>51</v>
      </c>
      <c r="M1472">
        <v>450.14</v>
      </c>
      <c r="N1472">
        <v>450.14</v>
      </c>
      <c r="O1472">
        <v>204</v>
      </c>
      <c r="P1472">
        <v>246.14</v>
      </c>
    </row>
    <row r="1473" spans="1:16" x14ac:dyDescent="0.3">
      <c r="A1473" s="1">
        <v>45962</v>
      </c>
      <c r="B1473" s="2" t="s">
        <v>39</v>
      </c>
      <c r="C1473" s="2" t="s">
        <v>45</v>
      </c>
      <c r="D1473" s="2" t="s">
        <v>41</v>
      </c>
      <c r="E1473" s="2" t="s">
        <v>42</v>
      </c>
      <c r="F1473" s="2" t="s">
        <v>52</v>
      </c>
      <c r="G1473" s="2" t="s">
        <v>94</v>
      </c>
      <c r="H1473">
        <v>1</v>
      </c>
      <c r="I1473">
        <v>3</v>
      </c>
      <c r="J1473">
        <v>216.34</v>
      </c>
      <c r="K1473">
        <v>0</v>
      </c>
      <c r="L1473">
        <v>124</v>
      </c>
      <c r="M1473">
        <v>649.02</v>
      </c>
      <c r="N1473">
        <v>649.02</v>
      </c>
      <c r="O1473">
        <v>372</v>
      </c>
      <c r="P1473">
        <v>277.02</v>
      </c>
    </row>
    <row r="1474" spans="1:16" x14ac:dyDescent="0.3">
      <c r="A1474" s="1">
        <v>45962</v>
      </c>
      <c r="B1474" s="2" t="s">
        <v>65</v>
      </c>
      <c r="C1474" s="2" t="s">
        <v>134</v>
      </c>
      <c r="D1474" s="2" t="s">
        <v>41</v>
      </c>
      <c r="E1474" s="2" t="s">
        <v>47</v>
      </c>
      <c r="F1474" s="2" t="s">
        <v>48</v>
      </c>
      <c r="G1474" s="2" t="s">
        <v>135</v>
      </c>
      <c r="H1474">
        <v>1</v>
      </c>
      <c r="I1474">
        <v>2</v>
      </c>
      <c r="J1474">
        <v>98.64</v>
      </c>
      <c r="K1474">
        <v>0</v>
      </c>
      <c r="L1474">
        <v>39</v>
      </c>
      <c r="M1474">
        <v>197.28</v>
      </c>
      <c r="N1474">
        <v>197.28</v>
      </c>
      <c r="O1474">
        <v>78</v>
      </c>
      <c r="P1474">
        <v>119.28</v>
      </c>
    </row>
    <row r="1475" spans="1:16" x14ac:dyDescent="0.3">
      <c r="A1475" s="1">
        <v>45962</v>
      </c>
      <c r="B1475" s="2" t="s">
        <v>65</v>
      </c>
      <c r="C1475" s="2" t="s">
        <v>134</v>
      </c>
      <c r="D1475" s="2" t="s">
        <v>41</v>
      </c>
      <c r="E1475" s="2" t="s">
        <v>42</v>
      </c>
      <c r="F1475" s="2" t="s">
        <v>48</v>
      </c>
      <c r="G1475" s="2" t="s">
        <v>208</v>
      </c>
      <c r="H1475">
        <v>1</v>
      </c>
      <c r="I1475">
        <v>3</v>
      </c>
      <c r="J1475">
        <v>71.11</v>
      </c>
      <c r="K1475">
        <v>0</v>
      </c>
      <c r="L1475">
        <v>31</v>
      </c>
      <c r="M1475">
        <v>213.32999999999998</v>
      </c>
      <c r="N1475">
        <v>213.32999999999998</v>
      </c>
      <c r="O1475">
        <v>93</v>
      </c>
      <c r="P1475">
        <v>120.32999999999998</v>
      </c>
    </row>
    <row r="1476" spans="1:16" x14ac:dyDescent="0.3">
      <c r="A1476" s="1">
        <v>45962</v>
      </c>
      <c r="B1476" s="2" t="s">
        <v>65</v>
      </c>
      <c r="C1476" s="2" t="s">
        <v>134</v>
      </c>
      <c r="D1476" s="2" t="s">
        <v>41</v>
      </c>
      <c r="E1476" s="2" t="s">
        <v>42</v>
      </c>
      <c r="F1476" s="2" t="s">
        <v>43</v>
      </c>
      <c r="G1476" s="2" t="s">
        <v>208</v>
      </c>
      <c r="H1476">
        <v>2</v>
      </c>
      <c r="I1476">
        <v>4</v>
      </c>
      <c r="J1476">
        <v>599.69000000000005</v>
      </c>
      <c r="K1476">
        <v>0</v>
      </c>
      <c r="L1476">
        <v>395</v>
      </c>
      <c r="M1476">
        <v>2398.7600000000002</v>
      </c>
      <c r="N1476">
        <v>2398.7600000000002</v>
      </c>
      <c r="O1476">
        <v>1580</v>
      </c>
      <c r="P1476">
        <v>818.76000000000022</v>
      </c>
    </row>
    <row r="1477" spans="1:16" x14ac:dyDescent="0.3">
      <c r="A1477" s="1">
        <v>45962</v>
      </c>
      <c r="B1477" s="2" t="s">
        <v>65</v>
      </c>
      <c r="C1477" s="2" t="s">
        <v>80</v>
      </c>
      <c r="D1477" s="2" t="s">
        <v>50</v>
      </c>
      <c r="E1477" s="2" t="s">
        <v>47</v>
      </c>
      <c r="F1477" s="2" t="s">
        <v>52</v>
      </c>
      <c r="G1477" s="2" t="s">
        <v>233</v>
      </c>
      <c r="H1477">
        <v>1</v>
      </c>
      <c r="I1477">
        <v>2</v>
      </c>
      <c r="J1477">
        <v>212.91</v>
      </c>
      <c r="K1477">
        <v>0.05</v>
      </c>
      <c r="L1477">
        <v>124</v>
      </c>
      <c r="M1477">
        <v>425.82</v>
      </c>
      <c r="N1477">
        <v>404.529</v>
      </c>
      <c r="O1477">
        <v>248</v>
      </c>
      <c r="P1477">
        <v>156.529</v>
      </c>
    </row>
    <row r="1478" spans="1:16" x14ac:dyDescent="0.3">
      <c r="A1478" s="1">
        <v>45992</v>
      </c>
      <c r="B1478" s="2" t="s">
        <v>83</v>
      </c>
      <c r="C1478" s="2" t="s">
        <v>164</v>
      </c>
      <c r="D1478" s="2" t="s">
        <v>50</v>
      </c>
      <c r="E1478" s="2" t="s">
        <v>42</v>
      </c>
      <c r="F1478" s="2" t="s">
        <v>48</v>
      </c>
      <c r="G1478" s="2" t="s">
        <v>53</v>
      </c>
      <c r="H1478">
        <v>3</v>
      </c>
      <c r="I1478">
        <v>8</v>
      </c>
      <c r="J1478">
        <v>61.773333333333333</v>
      </c>
      <c r="K1478">
        <v>0.09</v>
      </c>
      <c r="L1478">
        <v>26</v>
      </c>
      <c r="M1478">
        <v>484.92</v>
      </c>
      <c r="N1478">
        <v>447.32339999999999</v>
      </c>
      <c r="O1478">
        <v>203</v>
      </c>
      <c r="P1478">
        <v>244.32339999999999</v>
      </c>
    </row>
    <row r="1479" spans="1:16" x14ac:dyDescent="0.3">
      <c r="A1479" s="1">
        <v>45962</v>
      </c>
      <c r="B1479" s="2" t="s">
        <v>56</v>
      </c>
      <c r="C1479" s="2" t="s">
        <v>57</v>
      </c>
      <c r="D1479" s="2" t="s">
        <v>46</v>
      </c>
      <c r="E1479" s="2" t="s">
        <v>51</v>
      </c>
      <c r="F1479" s="2" t="s">
        <v>43</v>
      </c>
      <c r="G1479" s="2" t="s">
        <v>111</v>
      </c>
      <c r="H1479">
        <v>1</v>
      </c>
      <c r="I1479">
        <v>9</v>
      </c>
      <c r="J1479">
        <v>95.27</v>
      </c>
      <c r="K1479">
        <v>0.05</v>
      </c>
      <c r="L1479">
        <v>54</v>
      </c>
      <c r="M1479">
        <v>857.43</v>
      </c>
      <c r="N1479">
        <v>814.55849999999987</v>
      </c>
      <c r="O1479">
        <v>486</v>
      </c>
      <c r="P1479">
        <v>328.55849999999987</v>
      </c>
    </row>
    <row r="1480" spans="1:16" x14ac:dyDescent="0.3">
      <c r="A1480" s="1">
        <v>45962</v>
      </c>
      <c r="B1480" s="2" t="s">
        <v>39</v>
      </c>
      <c r="C1480" s="2" t="s">
        <v>54</v>
      </c>
      <c r="D1480" s="2" t="s">
        <v>41</v>
      </c>
      <c r="E1480" s="2" t="s">
        <v>42</v>
      </c>
      <c r="F1480" s="2" t="s">
        <v>43</v>
      </c>
      <c r="G1480" s="2" t="s">
        <v>69</v>
      </c>
      <c r="H1480">
        <v>1</v>
      </c>
      <c r="I1480">
        <v>1</v>
      </c>
      <c r="J1480">
        <v>1156.45</v>
      </c>
      <c r="K1480">
        <v>0</v>
      </c>
      <c r="L1480">
        <v>760</v>
      </c>
      <c r="M1480">
        <v>1156.45</v>
      </c>
      <c r="N1480">
        <v>1156.45</v>
      </c>
      <c r="O1480">
        <v>760</v>
      </c>
      <c r="P1480">
        <v>396.45000000000005</v>
      </c>
    </row>
    <row r="1481" spans="1:16" x14ac:dyDescent="0.3">
      <c r="A1481" s="1">
        <v>45962</v>
      </c>
      <c r="B1481" s="2" t="s">
        <v>83</v>
      </c>
      <c r="C1481" s="2" t="s">
        <v>84</v>
      </c>
      <c r="D1481" s="2" t="s">
        <v>41</v>
      </c>
      <c r="E1481" s="2" t="s">
        <v>51</v>
      </c>
      <c r="F1481" s="2" t="s">
        <v>48</v>
      </c>
      <c r="G1481" s="2" t="s">
        <v>202</v>
      </c>
      <c r="H1481">
        <v>1</v>
      </c>
      <c r="I1481">
        <v>9</v>
      </c>
      <c r="J1481">
        <v>84.89</v>
      </c>
      <c r="K1481">
        <v>0</v>
      </c>
      <c r="L1481">
        <v>39</v>
      </c>
      <c r="M1481">
        <v>764.01</v>
      </c>
      <c r="N1481">
        <v>764.01</v>
      </c>
      <c r="O1481">
        <v>351</v>
      </c>
      <c r="P1481">
        <v>413.01</v>
      </c>
    </row>
    <row r="1482" spans="1:16" x14ac:dyDescent="0.3">
      <c r="A1482" s="1">
        <v>45962</v>
      </c>
      <c r="B1482" s="2" t="s">
        <v>39</v>
      </c>
      <c r="C1482" s="2" t="s">
        <v>92</v>
      </c>
      <c r="D1482" s="2" t="s">
        <v>41</v>
      </c>
      <c r="E1482" s="2" t="s">
        <v>47</v>
      </c>
      <c r="F1482" s="2" t="s">
        <v>48</v>
      </c>
      <c r="G1482" s="2" t="s">
        <v>187</v>
      </c>
      <c r="H1482">
        <v>1</v>
      </c>
      <c r="I1482">
        <v>5</v>
      </c>
      <c r="J1482">
        <v>23.89</v>
      </c>
      <c r="K1482">
        <v>0</v>
      </c>
      <c r="L1482">
        <v>8</v>
      </c>
      <c r="M1482">
        <v>119.45</v>
      </c>
      <c r="N1482">
        <v>119.45</v>
      </c>
      <c r="O1482">
        <v>40</v>
      </c>
      <c r="P1482">
        <v>79.45</v>
      </c>
    </row>
    <row r="1483" spans="1:16" x14ac:dyDescent="0.3">
      <c r="A1483" s="1">
        <v>45962</v>
      </c>
      <c r="B1483" s="2" t="s">
        <v>39</v>
      </c>
      <c r="C1483" s="2" t="s">
        <v>88</v>
      </c>
      <c r="D1483" s="2" t="s">
        <v>50</v>
      </c>
      <c r="E1483" s="2" t="s">
        <v>42</v>
      </c>
      <c r="F1483" s="2" t="s">
        <v>48</v>
      </c>
      <c r="G1483" s="2" t="s">
        <v>125</v>
      </c>
      <c r="H1483">
        <v>1</v>
      </c>
      <c r="I1483">
        <v>3</v>
      </c>
      <c r="J1483">
        <v>74.459999999999994</v>
      </c>
      <c r="K1483">
        <v>0.08</v>
      </c>
      <c r="L1483">
        <v>31</v>
      </c>
      <c r="M1483">
        <v>223.38</v>
      </c>
      <c r="N1483">
        <v>205.50960000000001</v>
      </c>
      <c r="O1483">
        <v>93</v>
      </c>
      <c r="P1483">
        <v>112.50960000000001</v>
      </c>
    </row>
    <row r="1484" spans="1:16" x14ac:dyDescent="0.3">
      <c r="A1484" s="1">
        <v>45962</v>
      </c>
      <c r="B1484" s="2" t="s">
        <v>65</v>
      </c>
      <c r="C1484" s="2" t="s">
        <v>66</v>
      </c>
      <c r="D1484" s="2" t="s">
        <v>41</v>
      </c>
      <c r="E1484" s="2" t="s">
        <v>42</v>
      </c>
      <c r="F1484" s="2" t="s">
        <v>43</v>
      </c>
      <c r="G1484" s="2" t="s">
        <v>176</v>
      </c>
      <c r="H1484">
        <v>1</v>
      </c>
      <c r="I1484">
        <v>1</v>
      </c>
      <c r="J1484">
        <v>106.34</v>
      </c>
      <c r="K1484">
        <v>0.05</v>
      </c>
      <c r="L1484">
        <v>54</v>
      </c>
      <c r="M1484">
        <v>106.34</v>
      </c>
      <c r="N1484">
        <v>101.023</v>
      </c>
      <c r="O1484">
        <v>54</v>
      </c>
      <c r="P1484">
        <v>47.022999999999996</v>
      </c>
    </row>
    <row r="1485" spans="1:16" x14ac:dyDescent="0.3">
      <c r="A1485" s="1">
        <v>45962</v>
      </c>
      <c r="B1485" s="2" t="s">
        <v>56</v>
      </c>
      <c r="C1485" s="2" t="s">
        <v>62</v>
      </c>
      <c r="D1485" s="2" t="s">
        <v>50</v>
      </c>
      <c r="E1485" s="2" t="s">
        <v>42</v>
      </c>
      <c r="F1485" s="2" t="s">
        <v>52</v>
      </c>
      <c r="G1485" s="2" t="s">
        <v>139</v>
      </c>
      <c r="H1485">
        <v>1</v>
      </c>
      <c r="I1485">
        <v>2</v>
      </c>
      <c r="J1485">
        <v>209.4</v>
      </c>
      <c r="K1485">
        <v>0.1</v>
      </c>
      <c r="L1485">
        <v>124</v>
      </c>
      <c r="M1485">
        <v>418.8</v>
      </c>
      <c r="N1485">
        <v>376.92</v>
      </c>
      <c r="O1485">
        <v>248</v>
      </c>
      <c r="P1485">
        <v>128.92000000000002</v>
      </c>
    </row>
    <row r="1486" spans="1:16" x14ac:dyDescent="0.3">
      <c r="A1486" s="1">
        <v>45962</v>
      </c>
      <c r="B1486" s="2" t="s">
        <v>56</v>
      </c>
      <c r="C1486" s="2" t="s">
        <v>72</v>
      </c>
      <c r="D1486" s="2" t="s">
        <v>50</v>
      </c>
      <c r="E1486" s="2" t="s">
        <v>47</v>
      </c>
      <c r="F1486" s="2" t="s">
        <v>43</v>
      </c>
      <c r="G1486" s="2" t="s">
        <v>221</v>
      </c>
      <c r="H1486">
        <v>3</v>
      </c>
      <c r="I1486">
        <v>9</v>
      </c>
      <c r="J1486">
        <v>156.96</v>
      </c>
      <c r="K1486">
        <v>7.0000000000000007E-2</v>
      </c>
      <c r="L1486">
        <v>75.333333333333329</v>
      </c>
      <c r="M1486">
        <v>1413.3200000000002</v>
      </c>
      <c r="N1486">
        <v>1310.2570000000001</v>
      </c>
      <c r="O1486">
        <v>678</v>
      </c>
      <c r="P1486">
        <v>632.25700000000006</v>
      </c>
    </row>
    <row r="1487" spans="1:16" x14ac:dyDescent="0.3">
      <c r="A1487" s="1">
        <v>45962</v>
      </c>
      <c r="B1487" s="2" t="s">
        <v>39</v>
      </c>
      <c r="C1487" s="2" t="s">
        <v>88</v>
      </c>
      <c r="D1487" s="2" t="s">
        <v>95</v>
      </c>
      <c r="E1487" s="2" t="s">
        <v>42</v>
      </c>
      <c r="F1487" s="2" t="s">
        <v>48</v>
      </c>
      <c r="G1487" s="2" t="s">
        <v>204</v>
      </c>
      <c r="H1487">
        <v>2</v>
      </c>
      <c r="I1487">
        <v>5</v>
      </c>
      <c r="J1487">
        <v>70.400000000000006</v>
      </c>
      <c r="K1487">
        <v>0.04</v>
      </c>
      <c r="L1487">
        <v>31</v>
      </c>
      <c r="M1487">
        <v>352.09000000000003</v>
      </c>
      <c r="N1487">
        <v>346.46040000000005</v>
      </c>
      <c r="O1487">
        <v>155</v>
      </c>
      <c r="P1487">
        <v>191.46040000000005</v>
      </c>
    </row>
    <row r="1488" spans="1:16" x14ac:dyDescent="0.3">
      <c r="A1488" s="1">
        <v>45962</v>
      </c>
      <c r="B1488" s="2" t="s">
        <v>75</v>
      </c>
      <c r="C1488" s="2" t="s">
        <v>76</v>
      </c>
      <c r="D1488" s="2" t="s">
        <v>50</v>
      </c>
      <c r="E1488" s="2" t="s">
        <v>42</v>
      </c>
      <c r="F1488" s="2" t="s">
        <v>48</v>
      </c>
      <c r="G1488" s="2" t="s">
        <v>216</v>
      </c>
      <c r="H1488">
        <v>1</v>
      </c>
      <c r="I1488">
        <v>1</v>
      </c>
      <c r="J1488">
        <v>75.06</v>
      </c>
      <c r="K1488">
        <v>0.1</v>
      </c>
      <c r="L1488">
        <v>31</v>
      </c>
      <c r="M1488">
        <v>75.06</v>
      </c>
      <c r="N1488">
        <v>67.554000000000002</v>
      </c>
      <c r="O1488">
        <v>31</v>
      </c>
      <c r="P1488">
        <v>36.554000000000002</v>
      </c>
    </row>
    <row r="1489" spans="1:16" x14ac:dyDescent="0.3">
      <c r="A1489" s="1">
        <v>45962</v>
      </c>
      <c r="B1489" s="2" t="s">
        <v>75</v>
      </c>
      <c r="C1489" s="2" t="s">
        <v>76</v>
      </c>
      <c r="D1489" s="2" t="s">
        <v>50</v>
      </c>
      <c r="E1489" s="2" t="s">
        <v>42</v>
      </c>
      <c r="F1489" s="2" t="s">
        <v>52</v>
      </c>
      <c r="G1489" s="2" t="s">
        <v>216</v>
      </c>
      <c r="H1489">
        <v>1</v>
      </c>
      <c r="I1489">
        <v>3</v>
      </c>
      <c r="J1489">
        <v>42.07</v>
      </c>
      <c r="K1489">
        <v>0.05</v>
      </c>
      <c r="L1489">
        <v>18</v>
      </c>
      <c r="M1489">
        <v>126.21000000000001</v>
      </c>
      <c r="N1489">
        <v>119.8995</v>
      </c>
      <c r="O1489">
        <v>54</v>
      </c>
      <c r="P1489">
        <v>65.899500000000003</v>
      </c>
    </row>
    <row r="1490" spans="1:16" x14ac:dyDescent="0.3">
      <c r="A1490" s="1">
        <v>45962</v>
      </c>
      <c r="B1490" s="2" t="s">
        <v>83</v>
      </c>
      <c r="C1490" s="2" t="s">
        <v>164</v>
      </c>
      <c r="D1490" s="2" t="s">
        <v>50</v>
      </c>
      <c r="E1490" s="2" t="s">
        <v>42</v>
      </c>
      <c r="F1490" s="2" t="s">
        <v>43</v>
      </c>
      <c r="G1490" s="2" t="s">
        <v>53</v>
      </c>
      <c r="H1490">
        <v>1</v>
      </c>
      <c r="I1490">
        <v>1</v>
      </c>
      <c r="J1490">
        <v>1210.18</v>
      </c>
      <c r="K1490">
        <v>0.1</v>
      </c>
      <c r="L1490">
        <v>760</v>
      </c>
      <c r="M1490">
        <v>1210.18</v>
      </c>
      <c r="N1490">
        <v>1089.162</v>
      </c>
      <c r="O1490">
        <v>760</v>
      </c>
      <c r="P1490">
        <v>329.16200000000003</v>
      </c>
    </row>
    <row r="1491" spans="1:16" x14ac:dyDescent="0.3">
      <c r="A1491" s="1">
        <v>45962</v>
      </c>
      <c r="B1491" s="2" t="s">
        <v>39</v>
      </c>
      <c r="C1491" s="2" t="s">
        <v>92</v>
      </c>
      <c r="D1491" s="2" t="s">
        <v>50</v>
      </c>
      <c r="E1491" s="2" t="s">
        <v>47</v>
      </c>
      <c r="F1491" s="2" t="s">
        <v>52</v>
      </c>
      <c r="G1491" s="2" t="s">
        <v>230</v>
      </c>
      <c r="H1491">
        <v>1</v>
      </c>
      <c r="I1491">
        <v>3</v>
      </c>
      <c r="J1491">
        <v>45.37</v>
      </c>
      <c r="K1491">
        <v>0.1</v>
      </c>
      <c r="L1491">
        <v>18</v>
      </c>
      <c r="M1491">
        <v>136.10999999999999</v>
      </c>
      <c r="N1491">
        <v>122.499</v>
      </c>
      <c r="O1491">
        <v>54</v>
      </c>
      <c r="P1491">
        <v>68.498999999999995</v>
      </c>
    </row>
    <row r="1492" spans="1:16" x14ac:dyDescent="0.3">
      <c r="A1492" s="1">
        <v>45962</v>
      </c>
      <c r="B1492" s="2" t="s">
        <v>65</v>
      </c>
      <c r="C1492" s="2" t="s">
        <v>80</v>
      </c>
      <c r="D1492" s="2" t="s">
        <v>50</v>
      </c>
      <c r="E1492" s="2" t="s">
        <v>51</v>
      </c>
      <c r="F1492" s="2" t="s">
        <v>43</v>
      </c>
      <c r="G1492" s="2" t="s">
        <v>233</v>
      </c>
      <c r="H1492">
        <v>2</v>
      </c>
      <c r="I1492">
        <v>12</v>
      </c>
      <c r="J1492">
        <v>158.91</v>
      </c>
      <c r="K1492">
        <v>0.05</v>
      </c>
      <c r="L1492">
        <v>86</v>
      </c>
      <c r="M1492">
        <v>1912.1999999999998</v>
      </c>
      <c r="N1492">
        <v>1816.5899999999997</v>
      </c>
      <c r="O1492">
        <v>1032</v>
      </c>
      <c r="P1492">
        <v>784.5899999999998</v>
      </c>
    </row>
    <row r="1493" spans="1:16" x14ac:dyDescent="0.3">
      <c r="A1493" s="1">
        <v>45962</v>
      </c>
      <c r="B1493" s="2" t="s">
        <v>65</v>
      </c>
      <c r="C1493" s="2" t="s">
        <v>80</v>
      </c>
      <c r="D1493" s="2" t="s">
        <v>50</v>
      </c>
      <c r="E1493" s="2" t="s">
        <v>51</v>
      </c>
      <c r="F1493" s="2" t="s">
        <v>52</v>
      </c>
      <c r="G1493" s="2" t="s">
        <v>233</v>
      </c>
      <c r="H1493">
        <v>1</v>
      </c>
      <c r="I1493">
        <v>10</v>
      </c>
      <c r="J1493">
        <v>40.54</v>
      </c>
      <c r="K1493">
        <v>0.1</v>
      </c>
      <c r="L1493">
        <v>18</v>
      </c>
      <c r="M1493">
        <v>405.4</v>
      </c>
      <c r="N1493">
        <v>364.86</v>
      </c>
      <c r="O1493">
        <v>180</v>
      </c>
      <c r="P1493">
        <v>184.86</v>
      </c>
    </row>
    <row r="1494" spans="1:16" x14ac:dyDescent="0.3">
      <c r="A1494" s="1">
        <v>45962</v>
      </c>
      <c r="B1494" s="2" t="s">
        <v>83</v>
      </c>
      <c r="C1494" s="2" t="s">
        <v>126</v>
      </c>
      <c r="D1494" s="2" t="s">
        <v>46</v>
      </c>
      <c r="E1494" s="2" t="s">
        <v>47</v>
      </c>
      <c r="F1494" s="2" t="s">
        <v>48</v>
      </c>
      <c r="G1494" s="2" t="s">
        <v>127</v>
      </c>
      <c r="H1494">
        <v>1</v>
      </c>
      <c r="I1494">
        <v>5</v>
      </c>
      <c r="J1494">
        <v>95.47</v>
      </c>
      <c r="K1494">
        <v>0.08</v>
      </c>
      <c r="L1494">
        <v>39</v>
      </c>
      <c r="M1494">
        <v>477.35</v>
      </c>
      <c r="N1494">
        <v>439.16200000000003</v>
      </c>
      <c r="O1494">
        <v>195</v>
      </c>
      <c r="P1494">
        <v>244.16200000000003</v>
      </c>
    </row>
    <row r="1495" spans="1:16" x14ac:dyDescent="0.3">
      <c r="A1495" s="1">
        <v>45962</v>
      </c>
      <c r="B1495" s="2" t="s">
        <v>56</v>
      </c>
      <c r="C1495" s="2" t="s">
        <v>57</v>
      </c>
      <c r="D1495" s="2" t="s">
        <v>50</v>
      </c>
      <c r="E1495" s="2" t="s">
        <v>47</v>
      </c>
      <c r="F1495" s="2" t="s">
        <v>43</v>
      </c>
      <c r="G1495" s="2" t="s">
        <v>121</v>
      </c>
      <c r="H1495">
        <v>1</v>
      </c>
      <c r="I1495">
        <v>2</v>
      </c>
      <c r="J1495">
        <v>652.98</v>
      </c>
      <c r="K1495">
        <v>0</v>
      </c>
      <c r="L1495">
        <v>395</v>
      </c>
      <c r="M1495">
        <v>1305.96</v>
      </c>
      <c r="N1495">
        <v>1305.96</v>
      </c>
      <c r="O1495">
        <v>790</v>
      </c>
      <c r="P1495">
        <v>515.96</v>
      </c>
    </row>
    <row r="1496" spans="1:16" x14ac:dyDescent="0.3">
      <c r="A1496" s="1">
        <v>45962</v>
      </c>
      <c r="B1496" s="2" t="s">
        <v>65</v>
      </c>
      <c r="C1496" s="2" t="s">
        <v>66</v>
      </c>
      <c r="D1496" s="2" t="s">
        <v>50</v>
      </c>
      <c r="E1496" s="2" t="s">
        <v>42</v>
      </c>
      <c r="F1496" s="2" t="s">
        <v>48</v>
      </c>
      <c r="G1496" s="2" t="s">
        <v>74</v>
      </c>
      <c r="H1496">
        <v>1</v>
      </c>
      <c r="I1496">
        <v>4</v>
      </c>
      <c r="J1496">
        <v>91.38</v>
      </c>
      <c r="K1496">
        <v>0.08</v>
      </c>
      <c r="L1496">
        <v>39</v>
      </c>
      <c r="M1496">
        <v>365.52</v>
      </c>
      <c r="N1496">
        <v>336.27839999999998</v>
      </c>
      <c r="O1496">
        <v>156</v>
      </c>
      <c r="P1496">
        <v>180.27839999999998</v>
      </c>
    </row>
    <row r="1497" spans="1:16" x14ac:dyDescent="0.3">
      <c r="A1497" s="1">
        <v>45962</v>
      </c>
      <c r="B1497" s="2" t="s">
        <v>75</v>
      </c>
      <c r="C1497" s="2" t="s">
        <v>101</v>
      </c>
      <c r="D1497" s="2" t="s">
        <v>50</v>
      </c>
      <c r="E1497" s="2" t="s">
        <v>47</v>
      </c>
      <c r="F1497" s="2" t="s">
        <v>43</v>
      </c>
      <c r="G1497" s="2" t="s">
        <v>162</v>
      </c>
      <c r="H1497">
        <v>3</v>
      </c>
      <c r="I1497">
        <v>6</v>
      </c>
      <c r="J1497">
        <v>335.67</v>
      </c>
      <c r="K1497">
        <v>4.3333333333333335E-2</v>
      </c>
      <c r="L1497">
        <v>189</v>
      </c>
      <c r="M1497">
        <v>2941.2000000000003</v>
      </c>
      <c r="N1497">
        <v>2917.6902</v>
      </c>
      <c r="O1497">
        <v>1752</v>
      </c>
      <c r="P1497">
        <v>1165.6902</v>
      </c>
    </row>
    <row r="1498" spans="1:16" x14ac:dyDescent="0.3">
      <c r="A1498" s="1">
        <v>45962</v>
      </c>
      <c r="B1498" s="2" t="s">
        <v>39</v>
      </c>
      <c r="C1498" s="2" t="s">
        <v>88</v>
      </c>
      <c r="D1498" s="2" t="s">
        <v>50</v>
      </c>
      <c r="E1498" s="2" t="s">
        <v>51</v>
      </c>
      <c r="F1498" s="2" t="s">
        <v>48</v>
      </c>
      <c r="G1498" s="2" t="s">
        <v>186</v>
      </c>
      <c r="H1498">
        <v>1</v>
      </c>
      <c r="I1498">
        <v>17</v>
      </c>
      <c r="J1498">
        <v>65.73</v>
      </c>
      <c r="K1498">
        <v>0.12</v>
      </c>
      <c r="L1498">
        <v>31</v>
      </c>
      <c r="M1498">
        <v>1117.4100000000001</v>
      </c>
      <c r="N1498">
        <v>983.32080000000008</v>
      </c>
      <c r="O1498">
        <v>527</v>
      </c>
      <c r="P1498">
        <v>456.32080000000008</v>
      </c>
    </row>
    <row r="1499" spans="1:16" x14ac:dyDescent="0.3">
      <c r="A1499" s="1">
        <v>45962</v>
      </c>
      <c r="B1499" s="2" t="s">
        <v>56</v>
      </c>
      <c r="C1499" s="2" t="s">
        <v>57</v>
      </c>
      <c r="D1499" s="2" t="s">
        <v>50</v>
      </c>
      <c r="E1499" s="2" t="s">
        <v>47</v>
      </c>
      <c r="F1499" s="2" t="s">
        <v>43</v>
      </c>
      <c r="G1499" s="2" t="s">
        <v>60</v>
      </c>
      <c r="H1499">
        <v>1</v>
      </c>
      <c r="I1499">
        <v>3</v>
      </c>
      <c r="J1499">
        <v>619.59</v>
      </c>
      <c r="K1499">
        <v>0.1</v>
      </c>
      <c r="L1499">
        <v>395</v>
      </c>
      <c r="M1499">
        <v>1858.77</v>
      </c>
      <c r="N1499">
        <v>1672.893</v>
      </c>
      <c r="O1499">
        <v>1185</v>
      </c>
      <c r="P1499">
        <v>487.89300000000003</v>
      </c>
    </row>
    <row r="1500" spans="1:16" x14ac:dyDescent="0.3">
      <c r="A1500" s="1">
        <v>45962</v>
      </c>
      <c r="B1500" s="2" t="s">
        <v>83</v>
      </c>
      <c r="C1500" s="2" t="s">
        <v>126</v>
      </c>
      <c r="D1500" s="2" t="s">
        <v>46</v>
      </c>
      <c r="E1500" s="2" t="s">
        <v>47</v>
      </c>
      <c r="F1500" s="2" t="s">
        <v>43</v>
      </c>
      <c r="G1500" s="2" t="s">
        <v>127</v>
      </c>
      <c r="H1500">
        <v>2</v>
      </c>
      <c r="I1500">
        <v>6</v>
      </c>
      <c r="J1500">
        <v>639.02499999999998</v>
      </c>
      <c r="K1500">
        <v>0.1</v>
      </c>
      <c r="L1500">
        <v>407</v>
      </c>
      <c r="M1500">
        <v>4894.5</v>
      </c>
      <c r="N1500">
        <v>4405.05</v>
      </c>
      <c r="O1500">
        <v>3148</v>
      </c>
      <c r="P1500">
        <v>1257.05</v>
      </c>
    </row>
    <row r="1501" spans="1:16" x14ac:dyDescent="0.3">
      <c r="A1501" s="1">
        <v>45962</v>
      </c>
      <c r="B1501" s="2" t="s">
        <v>83</v>
      </c>
      <c r="C1501" s="2" t="s">
        <v>126</v>
      </c>
      <c r="D1501" s="2" t="s">
        <v>46</v>
      </c>
      <c r="E1501" s="2" t="s">
        <v>47</v>
      </c>
      <c r="F1501" s="2" t="s">
        <v>52</v>
      </c>
      <c r="G1501" s="2" t="s">
        <v>127</v>
      </c>
      <c r="H1501">
        <v>1</v>
      </c>
      <c r="I1501">
        <v>3</v>
      </c>
      <c r="J1501">
        <v>44.26</v>
      </c>
      <c r="K1501">
        <v>0.15</v>
      </c>
      <c r="L1501">
        <v>18</v>
      </c>
      <c r="M1501">
        <v>132.78</v>
      </c>
      <c r="N1501">
        <v>112.863</v>
      </c>
      <c r="O1501">
        <v>54</v>
      </c>
      <c r="P1501">
        <v>58.863</v>
      </c>
    </row>
    <row r="1502" spans="1:16" x14ac:dyDescent="0.3">
      <c r="A1502" s="1">
        <v>45962</v>
      </c>
      <c r="B1502" s="2" t="s">
        <v>83</v>
      </c>
      <c r="C1502" s="2" t="s">
        <v>84</v>
      </c>
      <c r="D1502" s="2" t="s">
        <v>50</v>
      </c>
      <c r="E1502" s="2" t="s">
        <v>51</v>
      </c>
      <c r="F1502" s="2" t="s">
        <v>48</v>
      </c>
      <c r="G1502" s="2" t="s">
        <v>85</v>
      </c>
      <c r="H1502">
        <v>1</v>
      </c>
      <c r="I1502">
        <v>22</v>
      </c>
      <c r="J1502">
        <v>87.22</v>
      </c>
      <c r="K1502">
        <v>0.05</v>
      </c>
      <c r="L1502">
        <v>39</v>
      </c>
      <c r="M1502">
        <v>1918.84</v>
      </c>
      <c r="N1502">
        <v>1822.8979999999999</v>
      </c>
      <c r="O1502">
        <v>858</v>
      </c>
      <c r="P1502">
        <v>964.89799999999991</v>
      </c>
    </row>
    <row r="1503" spans="1:16" x14ac:dyDescent="0.3">
      <c r="A1503" s="1">
        <v>45962</v>
      </c>
      <c r="B1503" s="2" t="s">
        <v>75</v>
      </c>
      <c r="C1503" s="2" t="s">
        <v>76</v>
      </c>
      <c r="D1503" s="2" t="s">
        <v>50</v>
      </c>
      <c r="E1503" s="2" t="s">
        <v>42</v>
      </c>
      <c r="F1503" s="2" t="s">
        <v>48</v>
      </c>
      <c r="G1503" s="2" t="s">
        <v>82</v>
      </c>
      <c r="H1503">
        <v>1</v>
      </c>
      <c r="I1503">
        <v>4</v>
      </c>
      <c r="J1503">
        <v>94.37</v>
      </c>
      <c r="K1503">
        <v>0.12</v>
      </c>
      <c r="L1503">
        <v>39</v>
      </c>
      <c r="M1503">
        <v>377.48</v>
      </c>
      <c r="N1503">
        <v>332.18240000000003</v>
      </c>
      <c r="O1503">
        <v>156</v>
      </c>
      <c r="P1503">
        <v>176.18240000000003</v>
      </c>
    </row>
    <row r="1504" spans="1:16" x14ac:dyDescent="0.3">
      <c r="A1504" s="1">
        <v>45962</v>
      </c>
      <c r="B1504" s="2" t="s">
        <v>39</v>
      </c>
      <c r="C1504" s="2" t="s">
        <v>78</v>
      </c>
      <c r="D1504" s="2" t="s">
        <v>41</v>
      </c>
      <c r="E1504" s="2" t="s">
        <v>42</v>
      </c>
      <c r="F1504" s="2" t="s">
        <v>43</v>
      </c>
      <c r="G1504" s="2" t="s">
        <v>156</v>
      </c>
      <c r="H1504">
        <v>3</v>
      </c>
      <c r="I1504">
        <v>6</v>
      </c>
      <c r="J1504">
        <v>229.91666666666666</v>
      </c>
      <c r="K1504">
        <v>0</v>
      </c>
      <c r="L1504">
        <v>139.33333333333334</v>
      </c>
      <c r="M1504">
        <v>1571.79</v>
      </c>
      <c r="N1504">
        <v>1571.79</v>
      </c>
      <c r="O1504">
        <v>964</v>
      </c>
      <c r="P1504">
        <v>607.79</v>
      </c>
    </row>
    <row r="1505" spans="1:16" x14ac:dyDescent="0.3">
      <c r="A1505" s="1">
        <v>45962</v>
      </c>
      <c r="B1505" s="2" t="s">
        <v>39</v>
      </c>
      <c r="C1505" s="2" t="s">
        <v>92</v>
      </c>
      <c r="D1505" s="2" t="s">
        <v>46</v>
      </c>
      <c r="E1505" s="2" t="s">
        <v>42</v>
      </c>
      <c r="F1505" s="2" t="s">
        <v>48</v>
      </c>
      <c r="G1505" s="2" t="s">
        <v>184</v>
      </c>
      <c r="H1505">
        <v>2</v>
      </c>
      <c r="I1505">
        <v>5</v>
      </c>
      <c r="J1505">
        <v>78.860000000000014</v>
      </c>
      <c r="K1505">
        <v>0.11499999999999999</v>
      </c>
      <c r="L1505">
        <v>35.5</v>
      </c>
      <c r="M1505">
        <v>559.03000000000009</v>
      </c>
      <c r="N1505">
        <v>512.63110000000006</v>
      </c>
      <c r="O1505">
        <v>260</v>
      </c>
      <c r="P1505">
        <v>252.63110000000003</v>
      </c>
    </row>
    <row r="1506" spans="1:16" x14ac:dyDescent="0.3">
      <c r="A1506" s="1">
        <v>45962</v>
      </c>
      <c r="B1506" s="2" t="s">
        <v>56</v>
      </c>
      <c r="C1506" s="2" t="s">
        <v>57</v>
      </c>
      <c r="D1506" s="2" t="s">
        <v>46</v>
      </c>
      <c r="E1506" s="2" t="s">
        <v>51</v>
      </c>
      <c r="F1506" s="2" t="s">
        <v>48</v>
      </c>
      <c r="G1506" s="2" t="s">
        <v>219</v>
      </c>
      <c r="H1506">
        <v>1</v>
      </c>
      <c r="I1506">
        <v>23</v>
      </c>
      <c r="J1506">
        <v>83.57</v>
      </c>
      <c r="K1506">
        <v>0.15</v>
      </c>
      <c r="L1506">
        <v>39</v>
      </c>
      <c r="M1506">
        <v>1922.11</v>
      </c>
      <c r="N1506">
        <v>1633.7934999999998</v>
      </c>
      <c r="O1506">
        <v>897</v>
      </c>
      <c r="P1506">
        <v>736.79349999999977</v>
      </c>
    </row>
    <row r="1507" spans="1:16" x14ac:dyDescent="0.3">
      <c r="A1507" s="1">
        <v>45962</v>
      </c>
      <c r="B1507" s="2" t="s">
        <v>56</v>
      </c>
      <c r="C1507" s="2" t="s">
        <v>62</v>
      </c>
      <c r="D1507" s="2" t="s">
        <v>50</v>
      </c>
      <c r="E1507" s="2" t="s">
        <v>47</v>
      </c>
      <c r="F1507" s="2" t="s">
        <v>48</v>
      </c>
      <c r="G1507" s="2" t="s">
        <v>139</v>
      </c>
      <c r="H1507">
        <v>1</v>
      </c>
      <c r="I1507">
        <v>4</v>
      </c>
      <c r="J1507">
        <v>93.56</v>
      </c>
      <c r="K1507">
        <v>0.1</v>
      </c>
      <c r="L1507">
        <v>39</v>
      </c>
      <c r="M1507">
        <v>374.24</v>
      </c>
      <c r="N1507">
        <v>336.81600000000003</v>
      </c>
      <c r="O1507">
        <v>156</v>
      </c>
      <c r="P1507">
        <v>180.81600000000003</v>
      </c>
    </row>
    <row r="1508" spans="1:16" x14ac:dyDescent="0.3">
      <c r="A1508" s="1">
        <v>45962</v>
      </c>
      <c r="B1508" s="2" t="s">
        <v>39</v>
      </c>
      <c r="C1508" s="2" t="s">
        <v>92</v>
      </c>
      <c r="D1508" s="2" t="s">
        <v>41</v>
      </c>
      <c r="E1508" s="2" t="s">
        <v>51</v>
      </c>
      <c r="F1508" s="2" t="s">
        <v>43</v>
      </c>
      <c r="G1508" s="2" t="s">
        <v>225</v>
      </c>
      <c r="H1508">
        <v>1</v>
      </c>
      <c r="I1508">
        <v>3</v>
      </c>
      <c r="J1508">
        <v>273.60000000000002</v>
      </c>
      <c r="K1508">
        <v>0.1</v>
      </c>
      <c r="L1508">
        <v>182</v>
      </c>
      <c r="M1508">
        <v>820.80000000000007</v>
      </c>
      <c r="N1508">
        <v>738.72</v>
      </c>
      <c r="O1508">
        <v>546</v>
      </c>
      <c r="P1508">
        <v>192.72000000000003</v>
      </c>
    </row>
    <row r="1509" spans="1:16" x14ac:dyDescent="0.3">
      <c r="A1509" s="1">
        <v>45962</v>
      </c>
      <c r="B1509" s="2" t="s">
        <v>83</v>
      </c>
      <c r="C1509" s="2" t="s">
        <v>164</v>
      </c>
      <c r="D1509" s="2" t="s">
        <v>41</v>
      </c>
      <c r="E1509" s="2" t="s">
        <v>51</v>
      </c>
      <c r="F1509" s="2" t="s">
        <v>43</v>
      </c>
      <c r="G1509" s="2" t="s">
        <v>206</v>
      </c>
      <c r="H1509">
        <v>1</v>
      </c>
      <c r="I1509">
        <v>7</v>
      </c>
      <c r="J1509">
        <v>553.71</v>
      </c>
      <c r="K1509">
        <v>0</v>
      </c>
      <c r="L1509">
        <v>395</v>
      </c>
      <c r="M1509">
        <v>3875.9700000000003</v>
      </c>
      <c r="N1509">
        <v>3875.9700000000003</v>
      </c>
      <c r="O1509">
        <v>2765</v>
      </c>
      <c r="P1509">
        <v>1110.9700000000003</v>
      </c>
    </row>
    <row r="1510" spans="1:16" x14ac:dyDescent="0.3">
      <c r="A1510" s="1">
        <v>45962</v>
      </c>
      <c r="B1510" s="2" t="s">
        <v>65</v>
      </c>
      <c r="C1510" s="2" t="s">
        <v>66</v>
      </c>
      <c r="D1510" s="2" t="s">
        <v>41</v>
      </c>
      <c r="E1510" s="2" t="s">
        <v>42</v>
      </c>
      <c r="F1510" s="2" t="s">
        <v>52</v>
      </c>
      <c r="G1510" s="2" t="s">
        <v>176</v>
      </c>
      <c r="H1510">
        <v>2</v>
      </c>
      <c r="I1510">
        <v>6</v>
      </c>
      <c r="J1510">
        <v>44.61</v>
      </c>
      <c r="K1510">
        <v>0.05</v>
      </c>
      <c r="L1510">
        <v>18</v>
      </c>
      <c r="M1510">
        <v>267.66000000000003</v>
      </c>
      <c r="N1510">
        <v>254.28300000000002</v>
      </c>
      <c r="O1510">
        <v>108</v>
      </c>
      <c r="P1510">
        <v>146.28300000000002</v>
      </c>
    </row>
    <row r="1511" spans="1:16" x14ac:dyDescent="0.3">
      <c r="A1511" s="1">
        <v>45962</v>
      </c>
      <c r="B1511" s="2" t="s">
        <v>39</v>
      </c>
      <c r="C1511" s="2" t="s">
        <v>45</v>
      </c>
      <c r="D1511" s="2" t="s">
        <v>41</v>
      </c>
      <c r="E1511" s="2" t="s">
        <v>42</v>
      </c>
      <c r="F1511" s="2" t="s">
        <v>43</v>
      </c>
      <c r="G1511" s="2" t="s">
        <v>194</v>
      </c>
      <c r="H1511">
        <v>1</v>
      </c>
      <c r="I1511">
        <v>2</v>
      </c>
      <c r="J1511">
        <v>1210.8</v>
      </c>
      <c r="K1511">
        <v>0</v>
      </c>
      <c r="L1511">
        <v>760</v>
      </c>
      <c r="M1511">
        <v>2421.6</v>
      </c>
      <c r="N1511">
        <v>2421.6</v>
      </c>
      <c r="O1511">
        <v>1520</v>
      </c>
      <c r="P1511">
        <v>901.59999999999991</v>
      </c>
    </row>
    <row r="1512" spans="1:16" x14ac:dyDescent="0.3">
      <c r="A1512" s="1">
        <v>45962</v>
      </c>
      <c r="B1512" s="2" t="s">
        <v>39</v>
      </c>
      <c r="C1512" s="2" t="s">
        <v>92</v>
      </c>
      <c r="D1512" s="2" t="s">
        <v>50</v>
      </c>
      <c r="E1512" s="2" t="s">
        <v>51</v>
      </c>
      <c r="F1512" s="2" t="s">
        <v>43</v>
      </c>
      <c r="G1512" s="2" t="s">
        <v>109</v>
      </c>
      <c r="H1512">
        <v>2</v>
      </c>
      <c r="I1512">
        <v>18</v>
      </c>
      <c r="J1512">
        <v>1032.115</v>
      </c>
      <c r="K1512">
        <v>0.04</v>
      </c>
      <c r="L1512">
        <v>760</v>
      </c>
      <c r="M1512">
        <v>18529.800000000003</v>
      </c>
      <c r="N1512">
        <v>17546.692800000001</v>
      </c>
      <c r="O1512">
        <v>13680</v>
      </c>
      <c r="P1512">
        <v>3866.6928000000007</v>
      </c>
    </row>
    <row r="1513" spans="1:16" x14ac:dyDescent="0.3">
      <c r="A1513" s="1">
        <v>45962</v>
      </c>
      <c r="B1513" s="2" t="s">
        <v>39</v>
      </c>
      <c r="C1513" s="2" t="s">
        <v>45</v>
      </c>
      <c r="D1513" s="2" t="s">
        <v>41</v>
      </c>
      <c r="E1513" s="2" t="s">
        <v>47</v>
      </c>
      <c r="F1513" s="2" t="s">
        <v>43</v>
      </c>
      <c r="G1513" s="2" t="s">
        <v>87</v>
      </c>
      <c r="H1513">
        <v>1</v>
      </c>
      <c r="I1513">
        <v>2</v>
      </c>
      <c r="J1513">
        <v>1212.81</v>
      </c>
      <c r="K1513">
        <v>0.05</v>
      </c>
      <c r="L1513">
        <v>760</v>
      </c>
      <c r="M1513">
        <v>2425.62</v>
      </c>
      <c r="N1513">
        <v>2304.3389999999999</v>
      </c>
      <c r="O1513">
        <v>1520</v>
      </c>
      <c r="P1513">
        <v>784.33899999999994</v>
      </c>
    </row>
    <row r="1514" spans="1:16" x14ac:dyDescent="0.3">
      <c r="A1514" s="1">
        <v>45962</v>
      </c>
      <c r="B1514" s="2" t="s">
        <v>39</v>
      </c>
      <c r="C1514" s="2" t="s">
        <v>88</v>
      </c>
      <c r="D1514" s="2" t="s">
        <v>50</v>
      </c>
      <c r="E1514" s="2" t="s">
        <v>51</v>
      </c>
      <c r="F1514" s="2" t="s">
        <v>43</v>
      </c>
      <c r="G1514" s="2" t="s">
        <v>140</v>
      </c>
      <c r="H1514">
        <v>1</v>
      </c>
      <c r="I1514">
        <v>50</v>
      </c>
      <c r="J1514">
        <v>164.81</v>
      </c>
      <c r="K1514">
        <v>0</v>
      </c>
      <c r="L1514">
        <v>86</v>
      </c>
      <c r="M1514">
        <v>8240.5</v>
      </c>
      <c r="N1514">
        <v>8240.5</v>
      </c>
      <c r="O1514">
        <v>4300</v>
      </c>
      <c r="P1514">
        <v>3940.5</v>
      </c>
    </row>
    <row r="1515" spans="1:16" x14ac:dyDescent="0.3">
      <c r="A1515" s="1">
        <v>45962</v>
      </c>
      <c r="B1515" s="2" t="s">
        <v>39</v>
      </c>
      <c r="C1515" s="2" t="s">
        <v>88</v>
      </c>
      <c r="D1515" s="2" t="s">
        <v>50</v>
      </c>
      <c r="E1515" s="2" t="s">
        <v>51</v>
      </c>
      <c r="F1515" s="2" t="s">
        <v>52</v>
      </c>
      <c r="G1515" s="2" t="s">
        <v>140</v>
      </c>
      <c r="H1515">
        <v>1</v>
      </c>
      <c r="I1515">
        <v>12</v>
      </c>
      <c r="J1515">
        <v>197.22</v>
      </c>
      <c r="K1515">
        <v>0.05</v>
      </c>
      <c r="L1515">
        <v>124</v>
      </c>
      <c r="M1515">
        <v>2366.64</v>
      </c>
      <c r="N1515">
        <v>2248.308</v>
      </c>
      <c r="O1515">
        <v>1488</v>
      </c>
      <c r="P1515">
        <v>760.30799999999999</v>
      </c>
    </row>
    <row r="1516" spans="1:16" x14ac:dyDescent="0.3">
      <c r="A1516" s="1">
        <v>45962</v>
      </c>
      <c r="B1516" s="2" t="s">
        <v>83</v>
      </c>
      <c r="C1516" s="2" t="s">
        <v>164</v>
      </c>
      <c r="D1516" s="2" t="s">
        <v>50</v>
      </c>
      <c r="E1516" s="2" t="s">
        <v>47</v>
      </c>
      <c r="F1516" s="2" t="s">
        <v>43</v>
      </c>
      <c r="G1516" s="2" t="s">
        <v>53</v>
      </c>
      <c r="H1516">
        <v>1</v>
      </c>
      <c r="I1516">
        <v>2</v>
      </c>
      <c r="J1516">
        <v>857.65</v>
      </c>
      <c r="K1516">
        <v>0.08</v>
      </c>
      <c r="L1516">
        <v>520</v>
      </c>
      <c r="M1516">
        <v>1715.3</v>
      </c>
      <c r="N1516">
        <v>1578.076</v>
      </c>
      <c r="O1516">
        <v>1040</v>
      </c>
      <c r="P1516">
        <v>538.07600000000002</v>
      </c>
    </row>
    <row r="1517" spans="1:16" x14ac:dyDescent="0.3">
      <c r="A1517" s="1">
        <v>45962</v>
      </c>
      <c r="B1517" s="2" t="s">
        <v>39</v>
      </c>
      <c r="C1517" s="2" t="s">
        <v>54</v>
      </c>
      <c r="D1517" s="2" t="s">
        <v>41</v>
      </c>
      <c r="E1517" s="2" t="s">
        <v>47</v>
      </c>
      <c r="F1517" s="2" t="s">
        <v>43</v>
      </c>
      <c r="G1517" s="2" t="s">
        <v>171</v>
      </c>
      <c r="H1517">
        <v>1</v>
      </c>
      <c r="I1517">
        <v>4</v>
      </c>
      <c r="J1517">
        <v>647.14</v>
      </c>
      <c r="K1517">
        <v>0.05</v>
      </c>
      <c r="L1517">
        <v>395</v>
      </c>
      <c r="M1517">
        <v>2588.56</v>
      </c>
      <c r="N1517">
        <v>2459.1319999999996</v>
      </c>
      <c r="O1517">
        <v>1580</v>
      </c>
      <c r="P1517">
        <v>879.13199999999961</v>
      </c>
    </row>
    <row r="1518" spans="1:16" x14ac:dyDescent="0.3">
      <c r="A1518" s="1">
        <v>45962</v>
      </c>
      <c r="B1518" s="2" t="s">
        <v>39</v>
      </c>
      <c r="C1518" s="2" t="s">
        <v>45</v>
      </c>
      <c r="D1518" s="2" t="s">
        <v>41</v>
      </c>
      <c r="E1518" s="2" t="s">
        <v>47</v>
      </c>
      <c r="F1518" s="2" t="s">
        <v>48</v>
      </c>
      <c r="G1518" s="2" t="s">
        <v>61</v>
      </c>
      <c r="H1518">
        <v>1</v>
      </c>
      <c r="I1518">
        <v>3</v>
      </c>
      <c r="J1518">
        <v>143.66999999999999</v>
      </c>
      <c r="K1518">
        <v>0</v>
      </c>
      <c r="L1518">
        <v>63</v>
      </c>
      <c r="M1518">
        <v>431.01</v>
      </c>
      <c r="N1518">
        <v>431.01</v>
      </c>
      <c r="O1518">
        <v>189</v>
      </c>
      <c r="P1518">
        <v>242.01</v>
      </c>
    </row>
    <row r="1519" spans="1:16" x14ac:dyDescent="0.3">
      <c r="A1519" s="1">
        <v>45962</v>
      </c>
      <c r="B1519" s="2" t="s">
        <v>39</v>
      </c>
      <c r="C1519" s="2" t="s">
        <v>78</v>
      </c>
      <c r="D1519" s="2" t="s">
        <v>41</v>
      </c>
      <c r="E1519" s="2" t="s">
        <v>51</v>
      </c>
      <c r="F1519" s="2" t="s">
        <v>48</v>
      </c>
      <c r="G1519" s="2" t="s">
        <v>156</v>
      </c>
      <c r="H1519">
        <v>1</v>
      </c>
      <c r="I1519">
        <v>10</v>
      </c>
      <c r="J1519">
        <v>21.48</v>
      </c>
      <c r="K1519">
        <v>0.05</v>
      </c>
      <c r="L1519">
        <v>8</v>
      </c>
      <c r="M1519">
        <v>214.8</v>
      </c>
      <c r="N1519">
        <v>204.06</v>
      </c>
      <c r="O1519">
        <v>80</v>
      </c>
      <c r="P1519">
        <v>124.06</v>
      </c>
    </row>
    <row r="1520" spans="1:16" x14ac:dyDescent="0.3">
      <c r="A1520" s="1">
        <v>45962</v>
      </c>
      <c r="B1520" s="2" t="s">
        <v>39</v>
      </c>
      <c r="C1520" s="2" t="s">
        <v>78</v>
      </c>
      <c r="D1520" s="2" t="s">
        <v>41</v>
      </c>
      <c r="E1520" s="2" t="s">
        <v>51</v>
      </c>
      <c r="F1520" s="2" t="s">
        <v>43</v>
      </c>
      <c r="G1520" s="2" t="s">
        <v>156</v>
      </c>
      <c r="H1520">
        <v>1</v>
      </c>
      <c r="I1520">
        <v>10</v>
      </c>
      <c r="J1520">
        <v>277</v>
      </c>
      <c r="K1520">
        <v>0.05</v>
      </c>
      <c r="L1520">
        <v>182</v>
      </c>
      <c r="M1520">
        <v>2770</v>
      </c>
      <c r="N1520">
        <v>2631.5</v>
      </c>
      <c r="O1520">
        <v>1820</v>
      </c>
      <c r="P1520">
        <v>811.5</v>
      </c>
    </row>
    <row r="1521" spans="1:16" x14ac:dyDescent="0.3">
      <c r="A1521" s="1">
        <v>45962</v>
      </c>
      <c r="B1521" s="2" t="s">
        <v>39</v>
      </c>
      <c r="C1521" s="2" t="s">
        <v>78</v>
      </c>
      <c r="D1521" s="2" t="s">
        <v>41</v>
      </c>
      <c r="E1521" s="2" t="s">
        <v>42</v>
      </c>
      <c r="F1521" s="2" t="s">
        <v>43</v>
      </c>
      <c r="G1521" s="2" t="s">
        <v>108</v>
      </c>
      <c r="H1521">
        <v>1</v>
      </c>
      <c r="I1521">
        <v>1</v>
      </c>
      <c r="J1521">
        <v>304.24</v>
      </c>
      <c r="K1521">
        <v>0</v>
      </c>
      <c r="L1521">
        <v>182</v>
      </c>
      <c r="M1521">
        <v>304.24</v>
      </c>
      <c r="N1521">
        <v>304.24</v>
      </c>
      <c r="O1521">
        <v>182</v>
      </c>
      <c r="P1521">
        <v>122.24000000000001</v>
      </c>
    </row>
    <row r="1522" spans="1:16" x14ac:dyDescent="0.3">
      <c r="A1522" s="1">
        <v>45962</v>
      </c>
      <c r="B1522" s="2" t="s">
        <v>39</v>
      </c>
      <c r="C1522" s="2" t="s">
        <v>92</v>
      </c>
      <c r="D1522" s="2" t="s">
        <v>41</v>
      </c>
      <c r="E1522" s="2" t="s">
        <v>47</v>
      </c>
      <c r="F1522" s="2" t="s">
        <v>43</v>
      </c>
      <c r="G1522" s="2" t="s">
        <v>148</v>
      </c>
      <c r="H1522">
        <v>1</v>
      </c>
      <c r="I1522">
        <v>3</v>
      </c>
      <c r="J1522">
        <v>303.20999999999998</v>
      </c>
      <c r="K1522">
        <v>0</v>
      </c>
      <c r="L1522">
        <v>182</v>
      </c>
      <c r="M1522">
        <v>909.62999999999988</v>
      </c>
      <c r="N1522">
        <v>909.62999999999988</v>
      </c>
      <c r="O1522">
        <v>546</v>
      </c>
      <c r="P1522">
        <v>363.62999999999988</v>
      </c>
    </row>
    <row r="1523" spans="1:16" x14ac:dyDescent="0.3">
      <c r="A1523" s="1">
        <v>45962</v>
      </c>
      <c r="B1523" s="2" t="s">
        <v>39</v>
      </c>
      <c r="C1523" s="2" t="s">
        <v>92</v>
      </c>
      <c r="D1523" s="2" t="s">
        <v>41</v>
      </c>
      <c r="E1523" s="2" t="s">
        <v>51</v>
      </c>
      <c r="F1523" s="2" t="s">
        <v>43</v>
      </c>
      <c r="G1523" s="2" t="s">
        <v>187</v>
      </c>
      <c r="H1523">
        <v>1</v>
      </c>
      <c r="I1523">
        <v>3</v>
      </c>
      <c r="J1523">
        <v>553.65</v>
      </c>
      <c r="K1523">
        <v>0.1</v>
      </c>
      <c r="L1523">
        <v>395</v>
      </c>
      <c r="M1523">
        <v>1660.9499999999998</v>
      </c>
      <c r="N1523">
        <v>1494.8549999999998</v>
      </c>
      <c r="O1523">
        <v>1185</v>
      </c>
      <c r="P1523">
        <v>309.85499999999979</v>
      </c>
    </row>
    <row r="1524" spans="1:16" x14ac:dyDescent="0.3">
      <c r="A1524" s="1">
        <v>45962</v>
      </c>
      <c r="B1524" s="2" t="s">
        <v>39</v>
      </c>
      <c r="C1524" s="2" t="s">
        <v>40</v>
      </c>
      <c r="D1524" s="2" t="s">
        <v>50</v>
      </c>
      <c r="E1524" s="2" t="s">
        <v>47</v>
      </c>
      <c r="F1524" s="2" t="s">
        <v>43</v>
      </c>
      <c r="G1524" s="2" t="s">
        <v>82</v>
      </c>
      <c r="H1524">
        <v>1</v>
      </c>
      <c r="I1524">
        <v>4</v>
      </c>
      <c r="J1524">
        <v>860.51</v>
      </c>
      <c r="K1524">
        <v>0.05</v>
      </c>
      <c r="L1524">
        <v>520</v>
      </c>
      <c r="M1524">
        <v>3442.04</v>
      </c>
      <c r="N1524">
        <v>3269.9379999999996</v>
      </c>
      <c r="O1524">
        <v>2080</v>
      </c>
      <c r="P1524">
        <v>1189.9379999999996</v>
      </c>
    </row>
    <row r="1525" spans="1:16" x14ac:dyDescent="0.3">
      <c r="A1525" s="1">
        <v>45962</v>
      </c>
      <c r="B1525" s="2" t="s">
        <v>39</v>
      </c>
      <c r="C1525" s="2" t="s">
        <v>45</v>
      </c>
      <c r="D1525" s="2" t="s">
        <v>158</v>
      </c>
      <c r="E1525" s="2" t="s">
        <v>47</v>
      </c>
      <c r="F1525" s="2" t="s">
        <v>43</v>
      </c>
      <c r="G1525" s="2" t="s">
        <v>86</v>
      </c>
      <c r="H1525">
        <v>1</v>
      </c>
      <c r="I1525">
        <v>2</v>
      </c>
      <c r="J1525">
        <v>648.14</v>
      </c>
      <c r="K1525">
        <v>0</v>
      </c>
      <c r="L1525">
        <v>395</v>
      </c>
      <c r="M1525">
        <v>1296.28</v>
      </c>
      <c r="N1525">
        <v>1296.28</v>
      </c>
      <c r="O1525">
        <v>790</v>
      </c>
      <c r="P1525">
        <v>506.28</v>
      </c>
    </row>
    <row r="1526" spans="1:16" x14ac:dyDescent="0.3">
      <c r="A1526" s="1">
        <v>45962</v>
      </c>
      <c r="B1526" s="2" t="s">
        <v>39</v>
      </c>
      <c r="C1526" s="2" t="s">
        <v>88</v>
      </c>
      <c r="D1526" s="2" t="s">
        <v>46</v>
      </c>
      <c r="E1526" s="2" t="s">
        <v>42</v>
      </c>
      <c r="F1526" s="2" t="s">
        <v>48</v>
      </c>
      <c r="G1526" s="2" t="s">
        <v>154</v>
      </c>
      <c r="H1526">
        <v>1</v>
      </c>
      <c r="I1526">
        <v>1</v>
      </c>
      <c r="J1526">
        <v>96.9</v>
      </c>
      <c r="K1526">
        <v>0.12</v>
      </c>
      <c r="L1526">
        <v>39</v>
      </c>
      <c r="M1526">
        <v>96.9</v>
      </c>
      <c r="N1526">
        <v>85.272000000000006</v>
      </c>
      <c r="O1526">
        <v>39</v>
      </c>
      <c r="P1526">
        <v>46.272000000000006</v>
      </c>
    </row>
    <row r="1527" spans="1:16" x14ac:dyDescent="0.3">
      <c r="A1527" s="1">
        <v>45962</v>
      </c>
      <c r="B1527" s="2" t="s">
        <v>83</v>
      </c>
      <c r="C1527" s="2" t="s">
        <v>84</v>
      </c>
      <c r="D1527" s="2" t="s">
        <v>41</v>
      </c>
      <c r="E1527" s="2" t="s">
        <v>47</v>
      </c>
      <c r="F1527" s="2" t="s">
        <v>48</v>
      </c>
      <c r="G1527" s="2" t="s">
        <v>202</v>
      </c>
      <c r="H1527">
        <v>2</v>
      </c>
      <c r="I1527">
        <v>4</v>
      </c>
      <c r="J1527">
        <v>49.575000000000003</v>
      </c>
      <c r="K1527">
        <v>2.5000000000000001E-2</v>
      </c>
      <c r="L1527">
        <v>19.5</v>
      </c>
      <c r="M1527">
        <v>198.3</v>
      </c>
      <c r="N1527">
        <v>195.839</v>
      </c>
      <c r="O1527">
        <v>78</v>
      </c>
      <c r="P1527">
        <v>117.839</v>
      </c>
    </row>
    <row r="1528" spans="1:16" x14ac:dyDescent="0.3">
      <c r="A1528" s="1">
        <v>45962</v>
      </c>
      <c r="B1528" s="2" t="s">
        <v>56</v>
      </c>
      <c r="C1528" s="2" t="s">
        <v>72</v>
      </c>
      <c r="D1528" s="2" t="s">
        <v>46</v>
      </c>
      <c r="E1528" s="2" t="s">
        <v>42</v>
      </c>
      <c r="F1528" s="2" t="s">
        <v>43</v>
      </c>
      <c r="G1528" s="2" t="s">
        <v>199</v>
      </c>
      <c r="H1528">
        <v>3</v>
      </c>
      <c r="I1528">
        <v>6</v>
      </c>
      <c r="J1528">
        <v>352.29666666666662</v>
      </c>
      <c r="K1528">
        <v>0.1</v>
      </c>
      <c r="L1528">
        <v>209.33333333333331</v>
      </c>
      <c r="M1528">
        <v>1373.75</v>
      </c>
      <c r="N1528">
        <v>1241.096</v>
      </c>
      <c r="O1528">
        <v>790</v>
      </c>
      <c r="P1528">
        <v>451.09599999999995</v>
      </c>
    </row>
    <row r="1529" spans="1:16" x14ac:dyDescent="0.3">
      <c r="A1529" s="1">
        <v>45962</v>
      </c>
      <c r="B1529" s="2" t="s">
        <v>39</v>
      </c>
      <c r="C1529" s="2" t="s">
        <v>92</v>
      </c>
      <c r="D1529" s="2" t="s">
        <v>50</v>
      </c>
      <c r="E1529" s="2" t="s">
        <v>51</v>
      </c>
      <c r="F1529" s="2" t="s">
        <v>48</v>
      </c>
      <c r="G1529" s="2" t="s">
        <v>130</v>
      </c>
      <c r="H1529">
        <v>1</v>
      </c>
      <c r="I1529">
        <v>19</v>
      </c>
      <c r="J1529">
        <v>121.99</v>
      </c>
      <c r="K1529">
        <v>0.05</v>
      </c>
      <c r="L1529">
        <v>63</v>
      </c>
      <c r="M1529">
        <v>2317.81</v>
      </c>
      <c r="N1529">
        <v>2201.9195</v>
      </c>
      <c r="O1529">
        <v>1197</v>
      </c>
      <c r="P1529">
        <v>1004.9195</v>
      </c>
    </row>
    <row r="1530" spans="1:16" x14ac:dyDescent="0.3">
      <c r="A1530" s="1">
        <v>45962</v>
      </c>
      <c r="B1530" s="2" t="s">
        <v>39</v>
      </c>
      <c r="C1530" s="2" t="s">
        <v>92</v>
      </c>
      <c r="D1530" s="2" t="s">
        <v>50</v>
      </c>
      <c r="E1530" s="2" t="s">
        <v>51</v>
      </c>
      <c r="F1530" s="2" t="s">
        <v>52</v>
      </c>
      <c r="G1530" s="2" t="s">
        <v>130</v>
      </c>
      <c r="H1530">
        <v>1</v>
      </c>
      <c r="I1530">
        <v>11</v>
      </c>
      <c r="J1530">
        <v>39.15</v>
      </c>
      <c r="K1530">
        <v>0.08</v>
      </c>
      <c r="L1530">
        <v>18</v>
      </c>
      <c r="M1530">
        <v>430.65</v>
      </c>
      <c r="N1530">
        <v>396.19799999999998</v>
      </c>
      <c r="O1530">
        <v>198</v>
      </c>
      <c r="P1530">
        <v>198.19799999999998</v>
      </c>
    </row>
    <row r="1531" spans="1:16" x14ac:dyDescent="0.3">
      <c r="A1531" s="1">
        <v>45962</v>
      </c>
      <c r="B1531" s="2" t="s">
        <v>83</v>
      </c>
      <c r="C1531" s="2" t="s">
        <v>164</v>
      </c>
      <c r="D1531" s="2" t="s">
        <v>50</v>
      </c>
      <c r="E1531" s="2" t="s">
        <v>42</v>
      </c>
      <c r="F1531" s="2" t="s">
        <v>48</v>
      </c>
      <c r="G1531" s="2" t="s">
        <v>211</v>
      </c>
      <c r="H1531">
        <v>1</v>
      </c>
      <c r="I1531">
        <v>4</v>
      </c>
      <c r="J1531">
        <v>138.25</v>
      </c>
      <c r="K1531">
        <v>0.05</v>
      </c>
      <c r="L1531">
        <v>63</v>
      </c>
      <c r="M1531">
        <v>553</v>
      </c>
      <c r="N1531">
        <v>525.35</v>
      </c>
      <c r="O1531">
        <v>252</v>
      </c>
      <c r="P1531">
        <v>273.35000000000002</v>
      </c>
    </row>
    <row r="1532" spans="1:16" x14ac:dyDescent="0.3">
      <c r="A1532" s="1">
        <v>45962</v>
      </c>
      <c r="B1532" s="2" t="s">
        <v>75</v>
      </c>
      <c r="C1532" s="2" t="s">
        <v>101</v>
      </c>
      <c r="D1532" s="2" t="s">
        <v>50</v>
      </c>
      <c r="E1532" s="2" t="s">
        <v>51</v>
      </c>
      <c r="F1532" s="2" t="s">
        <v>48</v>
      </c>
      <c r="G1532" s="2" t="s">
        <v>149</v>
      </c>
      <c r="H1532">
        <v>1</v>
      </c>
      <c r="I1532">
        <v>21</v>
      </c>
      <c r="J1532">
        <v>123</v>
      </c>
      <c r="K1532">
        <v>0.05</v>
      </c>
      <c r="L1532">
        <v>63</v>
      </c>
      <c r="M1532">
        <v>2583</v>
      </c>
      <c r="N1532">
        <v>2453.85</v>
      </c>
      <c r="O1532">
        <v>1323</v>
      </c>
      <c r="P1532">
        <v>1130.8499999999999</v>
      </c>
    </row>
    <row r="1533" spans="1:16" x14ac:dyDescent="0.3">
      <c r="A1533" s="1">
        <v>45962</v>
      </c>
      <c r="B1533" s="2" t="s">
        <v>39</v>
      </c>
      <c r="C1533" s="2" t="s">
        <v>54</v>
      </c>
      <c r="D1533" s="2" t="s">
        <v>41</v>
      </c>
      <c r="E1533" s="2" t="s">
        <v>47</v>
      </c>
      <c r="F1533" s="2" t="s">
        <v>48</v>
      </c>
      <c r="G1533" s="2" t="s">
        <v>168</v>
      </c>
      <c r="H1533">
        <v>1</v>
      </c>
      <c r="I1533">
        <v>1</v>
      </c>
      <c r="J1533">
        <v>143.30000000000001</v>
      </c>
      <c r="K1533">
        <v>0</v>
      </c>
      <c r="L1533">
        <v>63</v>
      </c>
      <c r="M1533">
        <v>143.30000000000001</v>
      </c>
      <c r="N1533">
        <v>143.30000000000001</v>
      </c>
      <c r="O1533">
        <v>63</v>
      </c>
      <c r="P1533">
        <v>80.300000000000011</v>
      </c>
    </row>
    <row r="1534" spans="1:16" x14ac:dyDescent="0.3">
      <c r="A1534" s="1">
        <v>45962</v>
      </c>
      <c r="B1534" s="2" t="s">
        <v>39</v>
      </c>
      <c r="C1534" s="2" t="s">
        <v>92</v>
      </c>
      <c r="D1534" s="2" t="s">
        <v>41</v>
      </c>
      <c r="E1534" s="2" t="s">
        <v>47</v>
      </c>
      <c r="F1534" s="2" t="s">
        <v>52</v>
      </c>
      <c r="G1534" s="2" t="s">
        <v>225</v>
      </c>
      <c r="H1534">
        <v>1</v>
      </c>
      <c r="I1534">
        <v>3</v>
      </c>
      <c r="J1534">
        <v>43.14</v>
      </c>
      <c r="K1534">
        <v>0</v>
      </c>
      <c r="L1534">
        <v>18</v>
      </c>
      <c r="M1534">
        <v>129.42000000000002</v>
      </c>
      <c r="N1534">
        <v>129.42000000000002</v>
      </c>
      <c r="O1534">
        <v>54</v>
      </c>
      <c r="P1534">
        <v>75.420000000000016</v>
      </c>
    </row>
    <row r="1535" spans="1:16" x14ac:dyDescent="0.3">
      <c r="A1535" s="1">
        <v>45962</v>
      </c>
      <c r="B1535" s="2" t="s">
        <v>83</v>
      </c>
      <c r="C1535" s="2" t="s">
        <v>84</v>
      </c>
      <c r="D1535" s="2" t="s">
        <v>41</v>
      </c>
      <c r="E1535" s="2" t="s">
        <v>42</v>
      </c>
      <c r="F1535" s="2" t="s">
        <v>48</v>
      </c>
      <c r="G1535" s="2" t="s">
        <v>222</v>
      </c>
      <c r="H1535">
        <v>1</v>
      </c>
      <c r="I1535">
        <v>1</v>
      </c>
      <c r="J1535">
        <v>135.80000000000001</v>
      </c>
      <c r="K1535">
        <v>0</v>
      </c>
      <c r="L1535">
        <v>63</v>
      </c>
      <c r="M1535">
        <v>135.80000000000001</v>
      </c>
      <c r="N1535">
        <v>135.80000000000001</v>
      </c>
      <c r="O1535">
        <v>63</v>
      </c>
      <c r="P1535">
        <v>72.800000000000011</v>
      </c>
    </row>
    <row r="1536" spans="1:16" x14ac:dyDescent="0.3">
      <c r="A1536" s="1">
        <v>45962</v>
      </c>
      <c r="B1536" s="2" t="s">
        <v>39</v>
      </c>
      <c r="C1536" s="2" t="s">
        <v>45</v>
      </c>
      <c r="D1536" s="2" t="s">
        <v>41</v>
      </c>
      <c r="E1536" s="2" t="s">
        <v>42</v>
      </c>
      <c r="F1536" s="2" t="s">
        <v>43</v>
      </c>
      <c r="G1536" s="2" t="s">
        <v>129</v>
      </c>
      <c r="H1536">
        <v>2</v>
      </c>
      <c r="I1536">
        <v>6</v>
      </c>
      <c r="J1536">
        <v>491.67499999999995</v>
      </c>
      <c r="K1536">
        <v>2.5000000000000001E-2</v>
      </c>
      <c r="L1536">
        <v>303</v>
      </c>
      <c r="M1536">
        <v>2950.05</v>
      </c>
      <c r="N1536">
        <v>2829.7080000000001</v>
      </c>
      <c r="O1536">
        <v>1818</v>
      </c>
      <c r="P1536">
        <v>1011.7080000000001</v>
      </c>
    </row>
    <row r="1537" spans="1:16" x14ac:dyDescent="0.3">
      <c r="A1537" s="1">
        <v>45962</v>
      </c>
      <c r="B1537" s="2" t="s">
        <v>56</v>
      </c>
      <c r="C1537" s="2" t="s">
        <v>62</v>
      </c>
      <c r="D1537" s="2" t="s">
        <v>46</v>
      </c>
      <c r="E1537" s="2" t="s">
        <v>51</v>
      </c>
      <c r="F1537" s="2" t="s">
        <v>52</v>
      </c>
      <c r="G1537" s="2" t="s">
        <v>74</v>
      </c>
      <c r="H1537">
        <v>1</v>
      </c>
      <c r="I1537">
        <v>10</v>
      </c>
      <c r="J1537">
        <v>188.71</v>
      </c>
      <c r="K1537">
        <v>0.12</v>
      </c>
      <c r="L1537">
        <v>124</v>
      </c>
      <c r="M1537">
        <v>1887.1000000000001</v>
      </c>
      <c r="N1537">
        <v>1660.6480000000001</v>
      </c>
      <c r="O1537">
        <v>1240</v>
      </c>
      <c r="P1537">
        <v>420.64800000000014</v>
      </c>
    </row>
    <row r="1538" spans="1:16" x14ac:dyDescent="0.3">
      <c r="A1538" s="1">
        <v>45962</v>
      </c>
      <c r="B1538" s="2" t="s">
        <v>39</v>
      </c>
      <c r="C1538" s="2" t="s">
        <v>40</v>
      </c>
      <c r="D1538" s="2" t="s">
        <v>50</v>
      </c>
      <c r="E1538" s="2" t="s">
        <v>47</v>
      </c>
      <c r="F1538" s="2" t="s">
        <v>43</v>
      </c>
      <c r="G1538" s="2" t="s">
        <v>145</v>
      </c>
      <c r="H1538">
        <v>1</v>
      </c>
      <c r="I1538">
        <v>1</v>
      </c>
      <c r="J1538">
        <v>628.58000000000004</v>
      </c>
      <c r="K1538">
        <v>0.08</v>
      </c>
      <c r="L1538">
        <v>395</v>
      </c>
      <c r="M1538">
        <v>628.58000000000004</v>
      </c>
      <c r="N1538">
        <v>578.29360000000008</v>
      </c>
      <c r="O1538">
        <v>395</v>
      </c>
      <c r="P1538">
        <v>183.29360000000008</v>
      </c>
    </row>
    <row r="1539" spans="1:16" x14ac:dyDescent="0.3">
      <c r="A1539" s="1">
        <v>45962</v>
      </c>
      <c r="B1539" s="2" t="s">
        <v>39</v>
      </c>
      <c r="C1539" s="2" t="s">
        <v>40</v>
      </c>
      <c r="D1539" s="2" t="s">
        <v>50</v>
      </c>
      <c r="E1539" s="2" t="s">
        <v>47</v>
      </c>
      <c r="F1539" s="2" t="s">
        <v>48</v>
      </c>
      <c r="G1539" s="2" t="s">
        <v>145</v>
      </c>
      <c r="H1539">
        <v>2</v>
      </c>
      <c r="I1539">
        <v>6</v>
      </c>
      <c r="J1539">
        <v>82.15</v>
      </c>
      <c r="K1539">
        <v>0.1</v>
      </c>
      <c r="L1539">
        <v>35.5</v>
      </c>
      <c r="M1539">
        <v>376.28000000000003</v>
      </c>
      <c r="N1539">
        <v>342.36320000000001</v>
      </c>
      <c r="O1539">
        <v>158</v>
      </c>
      <c r="P1539">
        <v>184.36320000000003</v>
      </c>
    </row>
    <row r="1540" spans="1:16" x14ac:dyDescent="0.3">
      <c r="A1540" s="1">
        <v>45962</v>
      </c>
      <c r="B1540" s="2" t="s">
        <v>39</v>
      </c>
      <c r="C1540" s="2" t="s">
        <v>45</v>
      </c>
      <c r="D1540" s="2" t="s">
        <v>50</v>
      </c>
      <c r="E1540" s="2" t="s">
        <v>51</v>
      </c>
      <c r="F1540" s="2" t="s">
        <v>43</v>
      </c>
      <c r="G1540" s="2" t="s">
        <v>209</v>
      </c>
      <c r="H1540">
        <v>1</v>
      </c>
      <c r="I1540">
        <v>4</v>
      </c>
      <c r="J1540">
        <v>100.34</v>
      </c>
      <c r="K1540">
        <v>0.08</v>
      </c>
      <c r="L1540">
        <v>54</v>
      </c>
      <c r="M1540">
        <v>401.36</v>
      </c>
      <c r="N1540">
        <v>369.25120000000004</v>
      </c>
      <c r="O1540">
        <v>216</v>
      </c>
      <c r="P1540">
        <v>153.25120000000004</v>
      </c>
    </row>
    <row r="1541" spans="1:16" x14ac:dyDescent="0.3">
      <c r="A1541" s="1">
        <v>45962</v>
      </c>
      <c r="B1541" s="2" t="s">
        <v>39</v>
      </c>
      <c r="C1541" s="2" t="s">
        <v>88</v>
      </c>
      <c r="D1541" s="2" t="s">
        <v>50</v>
      </c>
      <c r="E1541" s="2" t="s">
        <v>51</v>
      </c>
      <c r="F1541" s="2" t="s">
        <v>43</v>
      </c>
      <c r="G1541" s="2" t="s">
        <v>186</v>
      </c>
      <c r="H1541">
        <v>1</v>
      </c>
      <c r="I1541">
        <v>8</v>
      </c>
      <c r="J1541">
        <v>578.52</v>
      </c>
      <c r="K1541">
        <v>0.08</v>
      </c>
      <c r="L1541">
        <v>395</v>
      </c>
      <c r="M1541">
        <v>4628.16</v>
      </c>
      <c r="N1541">
        <v>4257.9071999999996</v>
      </c>
      <c r="O1541">
        <v>3160</v>
      </c>
      <c r="P1541">
        <v>1097.9071999999996</v>
      </c>
    </row>
    <row r="1542" spans="1:16" x14ac:dyDescent="0.3">
      <c r="A1542" s="1">
        <v>45962</v>
      </c>
      <c r="B1542" s="2" t="s">
        <v>39</v>
      </c>
      <c r="C1542" s="2" t="s">
        <v>78</v>
      </c>
      <c r="D1542" s="2" t="s">
        <v>41</v>
      </c>
      <c r="E1542" s="2" t="s">
        <v>51</v>
      </c>
      <c r="F1542" s="2" t="s">
        <v>48</v>
      </c>
      <c r="G1542" s="2" t="s">
        <v>108</v>
      </c>
      <c r="H1542">
        <v>1</v>
      </c>
      <c r="I1542">
        <v>23</v>
      </c>
      <c r="J1542">
        <v>85.44</v>
      </c>
      <c r="K1542">
        <v>0</v>
      </c>
      <c r="L1542">
        <v>39</v>
      </c>
      <c r="M1542">
        <v>1965.12</v>
      </c>
      <c r="N1542">
        <v>1965.12</v>
      </c>
      <c r="O1542">
        <v>897</v>
      </c>
      <c r="P1542">
        <v>1068.1199999999999</v>
      </c>
    </row>
    <row r="1543" spans="1:16" x14ac:dyDescent="0.3">
      <c r="A1543" s="1">
        <v>45962</v>
      </c>
      <c r="B1543" s="2" t="s">
        <v>75</v>
      </c>
      <c r="C1543" s="2" t="s">
        <v>76</v>
      </c>
      <c r="D1543" s="2" t="s">
        <v>50</v>
      </c>
      <c r="E1543" s="2" t="s">
        <v>47</v>
      </c>
      <c r="F1543" s="2" t="s">
        <v>43</v>
      </c>
      <c r="G1543" s="2" t="s">
        <v>142</v>
      </c>
      <c r="H1543">
        <v>1</v>
      </c>
      <c r="I1543">
        <v>1</v>
      </c>
      <c r="J1543">
        <v>309.26</v>
      </c>
      <c r="K1543">
        <v>0.08</v>
      </c>
      <c r="L1543">
        <v>182</v>
      </c>
      <c r="M1543">
        <v>309.26</v>
      </c>
      <c r="N1543">
        <v>284.51920000000001</v>
      </c>
      <c r="O1543">
        <v>182</v>
      </c>
      <c r="P1543">
        <v>102.51920000000001</v>
      </c>
    </row>
    <row r="1544" spans="1:16" x14ac:dyDescent="0.3">
      <c r="A1544" s="1">
        <v>45962</v>
      </c>
      <c r="B1544" s="2" t="s">
        <v>75</v>
      </c>
      <c r="C1544" s="2" t="s">
        <v>76</v>
      </c>
      <c r="D1544" s="2" t="s">
        <v>50</v>
      </c>
      <c r="E1544" s="2" t="s">
        <v>47</v>
      </c>
      <c r="F1544" s="2" t="s">
        <v>48</v>
      </c>
      <c r="G1544" s="2" t="s">
        <v>142</v>
      </c>
      <c r="H1544">
        <v>1</v>
      </c>
      <c r="I1544">
        <v>5</v>
      </c>
      <c r="J1544">
        <v>24.77</v>
      </c>
      <c r="K1544">
        <v>0.05</v>
      </c>
      <c r="L1544">
        <v>8</v>
      </c>
      <c r="M1544">
        <v>123.85</v>
      </c>
      <c r="N1544">
        <v>117.65749999999998</v>
      </c>
      <c r="O1544">
        <v>40</v>
      </c>
      <c r="P1544">
        <v>77.657499999999985</v>
      </c>
    </row>
    <row r="1545" spans="1:16" x14ac:dyDescent="0.3">
      <c r="A1545" s="1">
        <v>45962</v>
      </c>
      <c r="B1545" s="2" t="s">
        <v>56</v>
      </c>
      <c r="C1545" s="2" t="s">
        <v>72</v>
      </c>
      <c r="D1545" s="2" t="s">
        <v>41</v>
      </c>
      <c r="E1545" s="2" t="s">
        <v>42</v>
      </c>
      <c r="F1545" s="2" t="s">
        <v>48</v>
      </c>
      <c r="G1545" s="2" t="s">
        <v>175</v>
      </c>
      <c r="H1545">
        <v>1</v>
      </c>
      <c r="I1545">
        <v>3</v>
      </c>
      <c r="J1545">
        <v>93.73</v>
      </c>
      <c r="K1545">
        <v>0</v>
      </c>
      <c r="L1545">
        <v>39</v>
      </c>
      <c r="M1545">
        <v>281.19</v>
      </c>
      <c r="N1545">
        <v>281.19</v>
      </c>
      <c r="O1545">
        <v>117</v>
      </c>
      <c r="P1545">
        <v>164.19</v>
      </c>
    </row>
    <row r="1546" spans="1:16" x14ac:dyDescent="0.3">
      <c r="A1546" s="1">
        <v>45962</v>
      </c>
      <c r="B1546" s="2" t="s">
        <v>56</v>
      </c>
      <c r="C1546" s="2" t="s">
        <v>72</v>
      </c>
      <c r="D1546" s="2" t="s">
        <v>95</v>
      </c>
      <c r="E1546" s="2" t="s">
        <v>42</v>
      </c>
      <c r="F1546" s="2" t="s">
        <v>43</v>
      </c>
      <c r="G1546" s="2" t="s">
        <v>96</v>
      </c>
      <c r="H1546">
        <v>2</v>
      </c>
      <c r="I1546">
        <v>5</v>
      </c>
      <c r="J1546">
        <v>1036.52</v>
      </c>
      <c r="K1546">
        <v>6.5000000000000002E-2</v>
      </c>
      <c r="L1546">
        <v>640</v>
      </c>
      <c r="M1546">
        <v>5357.15</v>
      </c>
      <c r="N1546">
        <v>5037.5743000000002</v>
      </c>
      <c r="O1546">
        <v>3320</v>
      </c>
      <c r="P1546">
        <v>1717.5743000000002</v>
      </c>
    </row>
    <row r="1547" spans="1:16" x14ac:dyDescent="0.3">
      <c r="A1547" s="1">
        <v>45962</v>
      </c>
      <c r="B1547" s="2" t="s">
        <v>39</v>
      </c>
      <c r="C1547" s="2" t="s">
        <v>40</v>
      </c>
      <c r="D1547" s="2" t="s">
        <v>50</v>
      </c>
      <c r="E1547" s="2" t="s">
        <v>47</v>
      </c>
      <c r="F1547" s="2" t="s">
        <v>48</v>
      </c>
      <c r="G1547" s="2" t="s">
        <v>115</v>
      </c>
      <c r="H1547">
        <v>1</v>
      </c>
      <c r="I1547">
        <v>6</v>
      </c>
      <c r="J1547">
        <v>96.46</v>
      </c>
      <c r="K1547">
        <v>0.08</v>
      </c>
      <c r="L1547">
        <v>39</v>
      </c>
      <c r="M1547">
        <v>578.76</v>
      </c>
      <c r="N1547">
        <v>532.45920000000001</v>
      </c>
      <c r="O1547">
        <v>234</v>
      </c>
      <c r="P1547">
        <v>298.45920000000001</v>
      </c>
    </row>
    <row r="1548" spans="1:16" x14ac:dyDescent="0.3">
      <c r="A1548" s="1">
        <v>45962</v>
      </c>
      <c r="B1548" s="2" t="s">
        <v>56</v>
      </c>
      <c r="C1548" s="2" t="s">
        <v>57</v>
      </c>
      <c r="D1548" s="2" t="s">
        <v>50</v>
      </c>
      <c r="E1548" s="2" t="s">
        <v>42</v>
      </c>
      <c r="F1548" s="2" t="s">
        <v>48</v>
      </c>
      <c r="G1548" s="2" t="s">
        <v>150</v>
      </c>
      <c r="H1548">
        <v>1</v>
      </c>
      <c r="I1548">
        <v>4</v>
      </c>
      <c r="J1548">
        <v>140.68</v>
      </c>
      <c r="K1548">
        <v>0.12</v>
      </c>
      <c r="L1548">
        <v>63</v>
      </c>
      <c r="M1548">
        <v>562.72</v>
      </c>
      <c r="N1548">
        <v>495.1936</v>
      </c>
      <c r="O1548">
        <v>252</v>
      </c>
      <c r="P1548">
        <v>243.1936</v>
      </c>
    </row>
    <row r="1549" spans="1:16" x14ac:dyDescent="0.3">
      <c r="A1549" s="1">
        <v>45962</v>
      </c>
      <c r="B1549" s="2" t="s">
        <v>39</v>
      </c>
      <c r="C1549" s="2" t="s">
        <v>45</v>
      </c>
      <c r="D1549" s="2" t="s">
        <v>41</v>
      </c>
      <c r="E1549" s="2" t="s">
        <v>42</v>
      </c>
      <c r="F1549" s="2" t="s">
        <v>48</v>
      </c>
      <c r="G1549" s="2" t="s">
        <v>129</v>
      </c>
      <c r="H1549">
        <v>1</v>
      </c>
      <c r="I1549">
        <v>1</v>
      </c>
      <c r="J1549">
        <v>135.97</v>
      </c>
      <c r="K1549">
        <v>0</v>
      </c>
      <c r="L1549">
        <v>63</v>
      </c>
      <c r="M1549">
        <v>135.97</v>
      </c>
      <c r="N1549">
        <v>135.97</v>
      </c>
      <c r="O1549">
        <v>63</v>
      </c>
      <c r="P1549">
        <v>72.97</v>
      </c>
    </row>
    <row r="1550" spans="1:16" x14ac:dyDescent="0.3">
      <c r="A1550" s="1">
        <v>45962</v>
      </c>
      <c r="B1550" s="2" t="s">
        <v>83</v>
      </c>
      <c r="C1550" s="2" t="s">
        <v>84</v>
      </c>
      <c r="D1550" s="2" t="s">
        <v>41</v>
      </c>
      <c r="E1550" s="2" t="s">
        <v>42</v>
      </c>
      <c r="F1550" s="2" t="s">
        <v>43</v>
      </c>
      <c r="G1550" s="2" t="s">
        <v>85</v>
      </c>
      <c r="H1550">
        <v>2</v>
      </c>
      <c r="I1550">
        <v>3</v>
      </c>
      <c r="J1550">
        <v>617.89499999999998</v>
      </c>
      <c r="K1550">
        <v>0</v>
      </c>
      <c r="L1550">
        <v>395</v>
      </c>
      <c r="M1550">
        <v>1855.38</v>
      </c>
      <c r="N1550">
        <v>1855.38</v>
      </c>
      <c r="O1550">
        <v>1185</v>
      </c>
      <c r="P1550">
        <v>670.38000000000011</v>
      </c>
    </row>
    <row r="1551" spans="1:16" x14ac:dyDescent="0.3">
      <c r="A1551" s="1">
        <v>45962</v>
      </c>
      <c r="B1551" s="2" t="s">
        <v>39</v>
      </c>
      <c r="C1551" s="2" t="s">
        <v>45</v>
      </c>
      <c r="D1551" s="2" t="s">
        <v>41</v>
      </c>
      <c r="E1551" s="2" t="s">
        <v>42</v>
      </c>
      <c r="F1551" s="2" t="s">
        <v>43</v>
      </c>
      <c r="G1551" s="2" t="s">
        <v>170</v>
      </c>
      <c r="H1551">
        <v>1</v>
      </c>
      <c r="I1551">
        <v>1</v>
      </c>
      <c r="J1551">
        <v>104.3</v>
      </c>
      <c r="K1551">
        <v>0.1</v>
      </c>
      <c r="L1551">
        <v>54</v>
      </c>
      <c r="M1551">
        <v>104.3</v>
      </c>
      <c r="N1551">
        <v>93.87</v>
      </c>
      <c r="O1551">
        <v>54</v>
      </c>
      <c r="P1551">
        <v>39.870000000000005</v>
      </c>
    </row>
    <row r="1552" spans="1:16" x14ac:dyDescent="0.3">
      <c r="A1552" s="1">
        <v>45962</v>
      </c>
      <c r="B1552" s="2" t="s">
        <v>39</v>
      </c>
      <c r="C1552" s="2" t="s">
        <v>88</v>
      </c>
      <c r="D1552" s="2" t="s">
        <v>95</v>
      </c>
      <c r="E1552" s="2" t="s">
        <v>42</v>
      </c>
      <c r="F1552" s="2" t="s">
        <v>43</v>
      </c>
      <c r="G1552" s="2" t="s">
        <v>204</v>
      </c>
      <c r="H1552">
        <v>2</v>
      </c>
      <c r="I1552">
        <v>4</v>
      </c>
      <c r="J1552">
        <v>143.4</v>
      </c>
      <c r="K1552">
        <v>0.05</v>
      </c>
      <c r="L1552">
        <v>70</v>
      </c>
      <c r="M1552">
        <v>638.67999999999995</v>
      </c>
      <c r="N1552">
        <v>585.89799999999991</v>
      </c>
      <c r="O1552">
        <v>312</v>
      </c>
      <c r="P1552">
        <v>273.89799999999997</v>
      </c>
    </row>
    <row r="1553" spans="1:16" x14ac:dyDescent="0.3">
      <c r="A1553" s="1">
        <v>45962</v>
      </c>
      <c r="B1553" s="2" t="s">
        <v>75</v>
      </c>
      <c r="C1553" s="2" t="s">
        <v>76</v>
      </c>
      <c r="D1553" s="2" t="s">
        <v>46</v>
      </c>
      <c r="E1553" s="2" t="s">
        <v>42</v>
      </c>
      <c r="F1553" s="2" t="s">
        <v>43</v>
      </c>
      <c r="G1553" s="2" t="s">
        <v>77</v>
      </c>
      <c r="H1553">
        <v>1</v>
      </c>
      <c r="I1553">
        <v>1</v>
      </c>
      <c r="J1553">
        <v>861.16</v>
      </c>
      <c r="K1553">
        <v>0.15</v>
      </c>
      <c r="L1553">
        <v>520</v>
      </c>
      <c r="M1553">
        <v>861.16</v>
      </c>
      <c r="N1553">
        <v>731.98599999999999</v>
      </c>
      <c r="O1553">
        <v>520</v>
      </c>
      <c r="P1553">
        <v>211.98599999999999</v>
      </c>
    </row>
    <row r="1554" spans="1:16" x14ac:dyDescent="0.3">
      <c r="A1554" s="1">
        <v>45962</v>
      </c>
      <c r="B1554" s="2" t="s">
        <v>83</v>
      </c>
      <c r="C1554" s="2" t="s">
        <v>84</v>
      </c>
      <c r="D1554" s="2" t="s">
        <v>41</v>
      </c>
      <c r="E1554" s="2" t="s">
        <v>47</v>
      </c>
      <c r="F1554" s="2" t="s">
        <v>43</v>
      </c>
      <c r="G1554" s="2" t="s">
        <v>222</v>
      </c>
      <c r="H1554">
        <v>1</v>
      </c>
      <c r="I1554">
        <v>4</v>
      </c>
      <c r="J1554">
        <v>861.21</v>
      </c>
      <c r="K1554">
        <v>0</v>
      </c>
      <c r="L1554">
        <v>520</v>
      </c>
      <c r="M1554">
        <v>3444.84</v>
      </c>
      <c r="N1554">
        <v>3444.84</v>
      </c>
      <c r="O1554">
        <v>2080</v>
      </c>
      <c r="P1554">
        <v>1364.8400000000001</v>
      </c>
    </row>
    <row r="1555" spans="1:16" x14ac:dyDescent="0.3">
      <c r="A1555" s="1">
        <v>45962</v>
      </c>
      <c r="B1555" s="2" t="s">
        <v>56</v>
      </c>
      <c r="C1555" s="2" t="s">
        <v>72</v>
      </c>
      <c r="D1555" s="2" t="s">
        <v>50</v>
      </c>
      <c r="E1555" s="2" t="s">
        <v>42</v>
      </c>
      <c r="F1555" s="2" t="s">
        <v>48</v>
      </c>
      <c r="G1555" s="2" t="s">
        <v>73</v>
      </c>
      <c r="H1555">
        <v>1</v>
      </c>
      <c r="I1555">
        <v>4</v>
      </c>
      <c r="J1555">
        <v>93.01</v>
      </c>
      <c r="K1555">
        <v>0.08</v>
      </c>
      <c r="L1555">
        <v>39</v>
      </c>
      <c r="M1555">
        <v>372.04</v>
      </c>
      <c r="N1555">
        <v>342.27680000000004</v>
      </c>
      <c r="O1555">
        <v>156</v>
      </c>
      <c r="P1555">
        <v>186.27680000000004</v>
      </c>
    </row>
    <row r="1556" spans="1:16" x14ac:dyDescent="0.3">
      <c r="A1556" s="1">
        <v>45962</v>
      </c>
      <c r="B1556" s="2" t="s">
        <v>56</v>
      </c>
      <c r="C1556" s="2" t="s">
        <v>72</v>
      </c>
      <c r="D1556" s="2" t="s">
        <v>50</v>
      </c>
      <c r="E1556" s="2" t="s">
        <v>42</v>
      </c>
      <c r="F1556" s="2" t="s">
        <v>43</v>
      </c>
      <c r="G1556" s="2" t="s">
        <v>73</v>
      </c>
      <c r="H1556">
        <v>3</v>
      </c>
      <c r="I1556">
        <v>8</v>
      </c>
      <c r="J1556">
        <v>170.86333333333334</v>
      </c>
      <c r="K1556">
        <v>6.6666666666666666E-2</v>
      </c>
      <c r="L1556">
        <v>86</v>
      </c>
      <c r="M1556">
        <v>1368</v>
      </c>
      <c r="N1556">
        <v>1282.623</v>
      </c>
      <c r="O1556">
        <v>688</v>
      </c>
      <c r="P1556">
        <v>594.62300000000005</v>
      </c>
    </row>
    <row r="1557" spans="1:16" x14ac:dyDescent="0.3">
      <c r="A1557" s="1">
        <v>45962</v>
      </c>
      <c r="B1557" s="2" t="s">
        <v>39</v>
      </c>
      <c r="C1557" s="2" t="s">
        <v>45</v>
      </c>
      <c r="D1557" s="2" t="s">
        <v>46</v>
      </c>
      <c r="E1557" s="2" t="s">
        <v>47</v>
      </c>
      <c r="F1557" s="2" t="s">
        <v>43</v>
      </c>
      <c r="G1557" s="2" t="s">
        <v>49</v>
      </c>
      <c r="H1557">
        <v>2</v>
      </c>
      <c r="I1557">
        <v>2</v>
      </c>
      <c r="J1557">
        <v>377.63499999999999</v>
      </c>
      <c r="K1557">
        <v>0.08</v>
      </c>
      <c r="L1557">
        <v>224.5</v>
      </c>
      <c r="M1557">
        <v>755.27</v>
      </c>
      <c r="N1557">
        <v>694.84839999999997</v>
      </c>
      <c r="O1557">
        <v>449</v>
      </c>
      <c r="P1557">
        <v>245.8484</v>
      </c>
    </row>
    <row r="1558" spans="1:16" x14ac:dyDescent="0.3">
      <c r="A1558" s="1">
        <v>45962</v>
      </c>
      <c r="B1558" s="2" t="s">
        <v>39</v>
      </c>
      <c r="C1558" s="2" t="s">
        <v>40</v>
      </c>
      <c r="D1558" s="2" t="s">
        <v>50</v>
      </c>
      <c r="E1558" s="2" t="s">
        <v>42</v>
      </c>
      <c r="F1558" s="2" t="s">
        <v>43</v>
      </c>
      <c r="G1558" s="2" t="s">
        <v>82</v>
      </c>
      <c r="H1558">
        <v>1</v>
      </c>
      <c r="I1558">
        <v>3</v>
      </c>
      <c r="J1558">
        <v>292.02999999999997</v>
      </c>
      <c r="K1558">
        <v>0.12</v>
      </c>
      <c r="L1558">
        <v>182</v>
      </c>
      <c r="M1558">
        <v>876.08999999999992</v>
      </c>
      <c r="N1558">
        <v>770.9591999999999</v>
      </c>
      <c r="O1558">
        <v>546</v>
      </c>
      <c r="P1558">
        <v>224.9591999999999</v>
      </c>
    </row>
    <row r="1559" spans="1:16" x14ac:dyDescent="0.3">
      <c r="A1559" s="1">
        <v>45962</v>
      </c>
      <c r="B1559" s="2" t="s">
        <v>83</v>
      </c>
      <c r="C1559" s="2" t="s">
        <v>164</v>
      </c>
      <c r="D1559" s="2" t="s">
        <v>50</v>
      </c>
      <c r="E1559" s="2" t="s">
        <v>47</v>
      </c>
      <c r="F1559" s="2" t="s">
        <v>48</v>
      </c>
      <c r="G1559" s="2" t="s">
        <v>53</v>
      </c>
      <c r="H1559">
        <v>1</v>
      </c>
      <c r="I1559">
        <v>2</v>
      </c>
      <c r="J1559">
        <v>24.72</v>
      </c>
      <c r="K1559">
        <v>0.1</v>
      </c>
      <c r="L1559">
        <v>8</v>
      </c>
      <c r="M1559">
        <v>49.44</v>
      </c>
      <c r="N1559">
        <v>44.496000000000002</v>
      </c>
      <c r="O1559">
        <v>16</v>
      </c>
      <c r="P1559">
        <v>28.496000000000002</v>
      </c>
    </row>
    <row r="1560" spans="1:16" x14ac:dyDescent="0.3">
      <c r="A1560" s="1">
        <v>45901</v>
      </c>
      <c r="B1560" s="2" t="s">
        <v>65</v>
      </c>
      <c r="C1560" s="2" t="s">
        <v>66</v>
      </c>
      <c r="D1560" s="2" t="s">
        <v>41</v>
      </c>
      <c r="E1560" s="2" t="s">
        <v>47</v>
      </c>
      <c r="F1560" s="2" t="s">
        <v>43</v>
      </c>
      <c r="G1560" s="2" t="s">
        <v>176</v>
      </c>
      <c r="H1560">
        <v>1</v>
      </c>
      <c r="I1560">
        <v>3</v>
      </c>
      <c r="J1560">
        <v>111.72</v>
      </c>
      <c r="K1560">
        <v>0</v>
      </c>
      <c r="L1560">
        <v>54</v>
      </c>
      <c r="M1560">
        <v>335.15999999999997</v>
      </c>
      <c r="N1560">
        <v>335.15999999999997</v>
      </c>
      <c r="O1560">
        <v>162</v>
      </c>
      <c r="P1560">
        <v>173.15999999999997</v>
      </c>
    </row>
    <row r="1561" spans="1:16" x14ac:dyDescent="0.3">
      <c r="A1561" s="1">
        <v>45962</v>
      </c>
      <c r="B1561" s="2" t="s">
        <v>39</v>
      </c>
      <c r="C1561" s="2" t="s">
        <v>88</v>
      </c>
      <c r="D1561" s="2" t="s">
        <v>50</v>
      </c>
      <c r="E1561" s="2" t="s">
        <v>42</v>
      </c>
      <c r="F1561" s="2" t="s">
        <v>43</v>
      </c>
      <c r="G1561" s="2" t="s">
        <v>133</v>
      </c>
      <c r="H1561">
        <v>1</v>
      </c>
      <c r="I1561">
        <v>1</v>
      </c>
      <c r="J1561">
        <v>639.28</v>
      </c>
      <c r="K1561">
        <v>0.05</v>
      </c>
      <c r="L1561">
        <v>395</v>
      </c>
      <c r="M1561">
        <v>639.28</v>
      </c>
      <c r="N1561">
        <v>607.31599999999992</v>
      </c>
      <c r="O1561">
        <v>395</v>
      </c>
      <c r="P1561">
        <v>212.31599999999992</v>
      </c>
    </row>
    <row r="1562" spans="1:16" x14ac:dyDescent="0.3">
      <c r="A1562" s="1">
        <v>45962</v>
      </c>
      <c r="B1562" s="2" t="s">
        <v>56</v>
      </c>
      <c r="C1562" s="2" t="s">
        <v>57</v>
      </c>
      <c r="D1562" s="2" t="s">
        <v>46</v>
      </c>
      <c r="E1562" s="2" t="s">
        <v>42</v>
      </c>
      <c r="F1562" s="2" t="s">
        <v>48</v>
      </c>
      <c r="G1562" s="2" t="s">
        <v>219</v>
      </c>
      <c r="H1562">
        <v>1</v>
      </c>
      <c r="I1562">
        <v>4</v>
      </c>
      <c r="J1562">
        <v>22.7</v>
      </c>
      <c r="K1562">
        <v>0.12</v>
      </c>
      <c r="L1562">
        <v>8</v>
      </c>
      <c r="M1562">
        <v>90.8</v>
      </c>
      <c r="N1562">
        <v>79.903999999999996</v>
      </c>
      <c r="O1562">
        <v>32</v>
      </c>
      <c r="P1562">
        <v>47.903999999999996</v>
      </c>
    </row>
    <row r="1563" spans="1:16" x14ac:dyDescent="0.3">
      <c r="A1563" s="1">
        <v>45992</v>
      </c>
      <c r="B1563" s="2" t="s">
        <v>39</v>
      </c>
      <c r="C1563" s="2" t="s">
        <v>54</v>
      </c>
      <c r="D1563" s="2" t="s">
        <v>41</v>
      </c>
      <c r="E1563" s="2" t="s">
        <v>42</v>
      </c>
      <c r="F1563" s="2" t="s">
        <v>52</v>
      </c>
      <c r="G1563" s="2" t="s">
        <v>86</v>
      </c>
      <c r="H1563">
        <v>1</v>
      </c>
      <c r="I1563">
        <v>2</v>
      </c>
      <c r="J1563">
        <v>216.05</v>
      </c>
      <c r="K1563">
        <v>0.05</v>
      </c>
      <c r="L1563">
        <v>124</v>
      </c>
      <c r="M1563">
        <v>432.1</v>
      </c>
      <c r="N1563">
        <v>410.495</v>
      </c>
      <c r="O1563">
        <v>248</v>
      </c>
      <c r="P1563">
        <v>162.495</v>
      </c>
    </row>
    <row r="1564" spans="1:16" x14ac:dyDescent="0.3">
      <c r="A1564" s="1">
        <v>45962</v>
      </c>
      <c r="B1564" s="2" t="s">
        <v>56</v>
      </c>
      <c r="C1564" s="2" t="s">
        <v>72</v>
      </c>
      <c r="D1564" s="2" t="s">
        <v>50</v>
      </c>
      <c r="E1564" s="2" t="s">
        <v>42</v>
      </c>
      <c r="F1564" s="2" t="s">
        <v>43</v>
      </c>
      <c r="G1564" s="2" t="s">
        <v>221</v>
      </c>
      <c r="H1564">
        <v>2</v>
      </c>
      <c r="I1564">
        <v>2</v>
      </c>
      <c r="J1564">
        <v>547.23</v>
      </c>
      <c r="K1564">
        <v>0</v>
      </c>
      <c r="L1564">
        <v>351</v>
      </c>
      <c r="M1564">
        <v>1094.46</v>
      </c>
      <c r="N1564">
        <v>1094.46</v>
      </c>
      <c r="O1564">
        <v>702</v>
      </c>
      <c r="P1564">
        <v>392.46000000000004</v>
      </c>
    </row>
    <row r="1565" spans="1:16" x14ac:dyDescent="0.3">
      <c r="A1565" s="1">
        <v>45962</v>
      </c>
      <c r="B1565" s="2" t="s">
        <v>39</v>
      </c>
      <c r="C1565" s="2" t="s">
        <v>40</v>
      </c>
      <c r="D1565" s="2" t="s">
        <v>46</v>
      </c>
      <c r="E1565" s="2" t="s">
        <v>51</v>
      </c>
      <c r="F1565" s="2" t="s">
        <v>43</v>
      </c>
      <c r="G1565" s="2" t="s">
        <v>229</v>
      </c>
      <c r="H1565">
        <v>1</v>
      </c>
      <c r="I1565">
        <v>3</v>
      </c>
      <c r="J1565">
        <v>259.11</v>
      </c>
      <c r="K1565">
        <v>0.1</v>
      </c>
      <c r="L1565">
        <v>182</v>
      </c>
      <c r="M1565">
        <v>777.33</v>
      </c>
      <c r="N1565">
        <v>699.59700000000009</v>
      </c>
      <c r="O1565">
        <v>546</v>
      </c>
      <c r="P1565">
        <v>153.59700000000009</v>
      </c>
    </row>
    <row r="1566" spans="1:16" x14ac:dyDescent="0.3">
      <c r="A1566" s="1">
        <v>45962</v>
      </c>
      <c r="B1566" s="2" t="s">
        <v>39</v>
      </c>
      <c r="C1566" s="2" t="s">
        <v>40</v>
      </c>
      <c r="D1566" s="2" t="s">
        <v>46</v>
      </c>
      <c r="E1566" s="2" t="s">
        <v>47</v>
      </c>
      <c r="F1566" s="2" t="s">
        <v>43</v>
      </c>
      <c r="G1566" s="2" t="s">
        <v>120</v>
      </c>
      <c r="H1566">
        <v>1</v>
      </c>
      <c r="I1566">
        <v>2</v>
      </c>
      <c r="J1566">
        <v>297.37</v>
      </c>
      <c r="K1566">
        <v>0.08</v>
      </c>
      <c r="L1566">
        <v>1</v>
      </c>
      <c r="M1566">
        <v>594.74</v>
      </c>
      <c r="N1566">
        <v>547.16079999999999</v>
      </c>
      <c r="O1566">
        <v>2</v>
      </c>
      <c r="P1566">
        <v>545.16079999999999</v>
      </c>
    </row>
    <row r="1567" spans="1:16" x14ac:dyDescent="0.3">
      <c r="A1567" s="1">
        <v>45962</v>
      </c>
      <c r="B1567" s="2" t="s">
        <v>56</v>
      </c>
      <c r="C1567" s="2" t="s">
        <v>57</v>
      </c>
      <c r="D1567" s="2" t="s">
        <v>50</v>
      </c>
      <c r="E1567" s="2" t="s">
        <v>47</v>
      </c>
      <c r="F1567" s="2" t="s">
        <v>48</v>
      </c>
      <c r="G1567" s="2" t="s">
        <v>121</v>
      </c>
      <c r="H1567">
        <v>1</v>
      </c>
      <c r="I1567">
        <v>6</v>
      </c>
      <c r="J1567">
        <v>73.98</v>
      </c>
      <c r="K1567">
        <v>0</v>
      </c>
      <c r="L1567">
        <v>31</v>
      </c>
      <c r="M1567">
        <v>443.88</v>
      </c>
      <c r="N1567">
        <v>443.88</v>
      </c>
      <c r="O1567">
        <v>186</v>
      </c>
      <c r="P1567">
        <v>257.88</v>
      </c>
    </row>
    <row r="1568" spans="1:16" x14ac:dyDescent="0.3">
      <c r="A1568" s="1">
        <v>45962</v>
      </c>
      <c r="B1568" s="2" t="s">
        <v>39</v>
      </c>
      <c r="C1568" s="2" t="s">
        <v>45</v>
      </c>
      <c r="D1568" s="2" t="s">
        <v>41</v>
      </c>
      <c r="E1568" s="2" t="s">
        <v>42</v>
      </c>
      <c r="F1568" s="2" t="s">
        <v>48</v>
      </c>
      <c r="G1568" s="2" t="s">
        <v>201</v>
      </c>
      <c r="H1568">
        <v>1</v>
      </c>
      <c r="I1568">
        <v>4</v>
      </c>
      <c r="J1568">
        <v>94.86</v>
      </c>
      <c r="K1568">
        <v>0</v>
      </c>
      <c r="L1568">
        <v>39</v>
      </c>
      <c r="M1568">
        <v>379.44</v>
      </c>
      <c r="N1568">
        <v>379.44</v>
      </c>
      <c r="O1568">
        <v>156</v>
      </c>
      <c r="P1568">
        <v>223.44</v>
      </c>
    </row>
    <row r="1569" spans="1:16" x14ac:dyDescent="0.3">
      <c r="A1569" s="1">
        <v>45962</v>
      </c>
      <c r="B1569" s="2" t="s">
        <v>39</v>
      </c>
      <c r="C1569" s="2" t="s">
        <v>45</v>
      </c>
      <c r="D1569" s="2" t="s">
        <v>41</v>
      </c>
      <c r="E1569" s="2" t="s">
        <v>42</v>
      </c>
      <c r="F1569" s="2" t="s">
        <v>43</v>
      </c>
      <c r="G1569" s="2" t="s">
        <v>201</v>
      </c>
      <c r="H1569">
        <v>1</v>
      </c>
      <c r="I1569">
        <v>3</v>
      </c>
      <c r="J1569">
        <v>1153.27</v>
      </c>
      <c r="K1569">
        <v>0.05</v>
      </c>
      <c r="L1569">
        <v>760</v>
      </c>
      <c r="M1569">
        <v>3459.81</v>
      </c>
      <c r="N1569">
        <v>3286.8194999999996</v>
      </c>
      <c r="O1569">
        <v>2280</v>
      </c>
      <c r="P1569">
        <v>1006.8194999999996</v>
      </c>
    </row>
    <row r="1570" spans="1:16" x14ac:dyDescent="0.3">
      <c r="A1570" s="1">
        <v>45962</v>
      </c>
      <c r="B1570" s="2" t="s">
        <v>56</v>
      </c>
      <c r="C1570" s="2" t="s">
        <v>72</v>
      </c>
      <c r="D1570" s="2" t="s">
        <v>50</v>
      </c>
      <c r="E1570" s="2" t="s">
        <v>47</v>
      </c>
      <c r="F1570" s="2" t="s">
        <v>48</v>
      </c>
      <c r="G1570" s="2" t="s">
        <v>118</v>
      </c>
      <c r="H1570">
        <v>1</v>
      </c>
      <c r="I1570">
        <v>5</v>
      </c>
      <c r="J1570">
        <v>97.52</v>
      </c>
      <c r="K1570">
        <v>0.08</v>
      </c>
      <c r="L1570">
        <v>39</v>
      </c>
      <c r="M1570">
        <v>487.59999999999997</v>
      </c>
      <c r="N1570">
        <v>448.59199999999998</v>
      </c>
      <c r="O1570">
        <v>195</v>
      </c>
      <c r="P1570">
        <v>253.59199999999998</v>
      </c>
    </row>
    <row r="1571" spans="1:16" x14ac:dyDescent="0.3">
      <c r="A1571" s="1">
        <v>45962</v>
      </c>
      <c r="B1571" s="2" t="s">
        <v>56</v>
      </c>
      <c r="C1571" s="2" t="s">
        <v>62</v>
      </c>
      <c r="D1571" s="2" t="s">
        <v>41</v>
      </c>
      <c r="E1571" s="2" t="s">
        <v>42</v>
      </c>
      <c r="F1571" s="2" t="s">
        <v>48</v>
      </c>
      <c r="G1571" s="2" t="s">
        <v>142</v>
      </c>
      <c r="H1571">
        <v>1</v>
      </c>
      <c r="I1571">
        <v>1</v>
      </c>
      <c r="J1571">
        <v>133.21</v>
      </c>
      <c r="K1571">
        <v>0</v>
      </c>
      <c r="L1571">
        <v>63</v>
      </c>
      <c r="M1571">
        <v>133.21</v>
      </c>
      <c r="N1571">
        <v>133.21</v>
      </c>
      <c r="O1571">
        <v>63</v>
      </c>
      <c r="P1571">
        <v>70.210000000000008</v>
      </c>
    </row>
    <row r="1572" spans="1:16" x14ac:dyDescent="0.3">
      <c r="A1572" s="1">
        <v>45962</v>
      </c>
      <c r="B1572" s="2" t="s">
        <v>39</v>
      </c>
      <c r="C1572" s="2" t="s">
        <v>40</v>
      </c>
      <c r="D1572" s="2" t="s">
        <v>46</v>
      </c>
      <c r="E1572" s="2" t="s">
        <v>47</v>
      </c>
      <c r="F1572" s="2" t="s">
        <v>52</v>
      </c>
      <c r="G1572" s="2" t="s">
        <v>118</v>
      </c>
      <c r="H1572">
        <v>1</v>
      </c>
      <c r="I1572">
        <v>4</v>
      </c>
      <c r="J1572">
        <v>216.52</v>
      </c>
      <c r="K1572">
        <v>0.05</v>
      </c>
      <c r="L1572">
        <v>124</v>
      </c>
      <c r="M1572">
        <v>866.08</v>
      </c>
      <c r="N1572">
        <v>822.77599999999995</v>
      </c>
      <c r="O1572">
        <v>496</v>
      </c>
      <c r="P1572">
        <v>326.77599999999995</v>
      </c>
    </row>
    <row r="1573" spans="1:16" x14ac:dyDescent="0.3">
      <c r="A1573" s="1">
        <v>45962</v>
      </c>
      <c r="B1573" s="2" t="s">
        <v>39</v>
      </c>
      <c r="C1573" s="2" t="s">
        <v>40</v>
      </c>
      <c r="D1573" s="2" t="s">
        <v>46</v>
      </c>
      <c r="E1573" s="2" t="s">
        <v>47</v>
      </c>
      <c r="F1573" s="2" t="s">
        <v>48</v>
      </c>
      <c r="G1573" s="2" t="s">
        <v>118</v>
      </c>
      <c r="H1573">
        <v>1</v>
      </c>
      <c r="I1573">
        <v>2</v>
      </c>
      <c r="J1573">
        <v>96.56</v>
      </c>
      <c r="K1573">
        <v>0.1</v>
      </c>
      <c r="L1573">
        <v>39</v>
      </c>
      <c r="M1573">
        <v>193.12</v>
      </c>
      <c r="N1573">
        <v>173.80800000000002</v>
      </c>
      <c r="O1573">
        <v>78</v>
      </c>
      <c r="P1573">
        <v>95.808000000000021</v>
      </c>
    </row>
    <row r="1574" spans="1:16" x14ac:dyDescent="0.3">
      <c r="A1574" s="1">
        <v>45962</v>
      </c>
      <c r="B1574" s="2" t="s">
        <v>83</v>
      </c>
      <c r="C1574" s="2" t="s">
        <v>164</v>
      </c>
      <c r="D1574" s="2" t="s">
        <v>50</v>
      </c>
      <c r="E1574" s="2" t="s">
        <v>42</v>
      </c>
      <c r="F1574" s="2" t="s">
        <v>43</v>
      </c>
      <c r="G1574" s="2" t="s">
        <v>165</v>
      </c>
      <c r="H1574">
        <v>1</v>
      </c>
      <c r="I1574">
        <v>1</v>
      </c>
      <c r="J1574">
        <v>1190.05</v>
      </c>
      <c r="K1574">
        <v>0.05</v>
      </c>
      <c r="L1574">
        <v>760</v>
      </c>
      <c r="M1574">
        <v>1190.05</v>
      </c>
      <c r="N1574">
        <v>1130.5474999999999</v>
      </c>
      <c r="O1574">
        <v>760</v>
      </c>
      <c r="P1574">
        <v>370.5474999999999</v>
      </c>
    </row>
    <row r="1575" spans="1:16" x14ac:dyDescent="0.3">
      <c r="A1575" s="1">
        <v>45962</v>
      </c>
      <c r="B1575" s="2" t="s">
        <v>39</v>
      </c>
      <c r="C1575" s="2" t="s">
        <v>88</v>
      </c>
      <c r="D1575" s="2" t="s">
        <v>46</v>
      </c>
      <c r="E1575" s="2" t="s">
        <v>51</v>
      </c>
      <c r="F1575" s="2" t="s">
        <v>43</v>
      </c>
      <c r="G1575" s="2" t="s">
        <v>210</v>
      </c>
      <c r="H1575">
        <v>2</v>
      </c>
      <c r="I1575">
        <v>14</v>
      </c>
      <c r="J1575">
        <v>421.74</v>
      </c>
      <c r="K1575">
        <v>0.11</v>
      </c>
      <c r="L1575">
        <v>288.5</v>
      </c>
      <c r="M1575">
        <v>4670.6000000000004</v>
      </c>
      <c r="N1575">
        <v>4144.6855999999998</v>
      </c>
      <c r="O1575">
        <v>3187</v>
      </c>
      <c r="P1575">
        <v>957.68559999999979</v>
      </c>
    </row>
    <row r="1576" spans="1:16" x14ac:dyDescent="0.3">
      <c r="A1576" s="1">
        <v>45962</v>
      </c>
      <c r="B1576" s="2" t="s">
        <v>39</v>
      </c>
      <c r="C1576" s="2" t="s">
        <v>88</v>
      </c>
      <c r="D1576" s="2" t="s">
        <v>46</v>
      </c>
      <c r="E1576" s="2" t="s">
        <v>51</v>
      </c>
      <c r="F1576" s="2" t="s">
        <v>52</v>
      </c>
      <c r="G1576" s="2" t="s">
        <v>210</v>
      </c>
      <c r="H1576">
        <v>1</v>
      </c>
      <c r="I1576">
        <v>7</v>
      </c>
      <c r="J1576">
        <v>190.22</v>
      </c>
      <c r="K1576">
        <v>0.1</v>
      </c>
      <c r="L1576">
        <v>124</v>
      </c>
      <c r="M1576">
        <v>1331.54</v>
      </c>
      <c r="N1576">
        <v>1198.386</v>
      </c>
      <c r="O1576">
        <v>868</v>
      </c>
      <c r="P1576">
        <v>330.38599999999997</v>
      </c>
    </row>
    <row r="1577" spans="1:16" x14ac:dyDescent="0.3">
      <c r="A1577" s="1">
        <v>45962</v>
      </c>
      <c r="B1577" s="2" t="s">
        <v>70</v>
      </c>
      <c r="C1577" s="2" t="s">
        <v>45</v>
      </c>
      <c r="D1577" s="2" t="s">
        <v>50</v>
      </c>
      <c r="E1577" s="2" t="s">
        <v>42</v>
      </c>
      <c r="F1577" s="2" t="s">
        <v>48</v>
      </c>
      <c r="G1577" s="2" t="s">
        <v>71</v>
      </c>
      <c r="H1577">
        <v>1</v>
      </c>
      <c r="I1577">
        <v>1</v>
      </c>
      <c r="J1577">
        <v>73.989999999999995</v>
      </c>
      <c r="K1577">
        <v>0.1</v>
      </c>
      <c r="L1577">
        <v>31</v>
      </c>
      <c r="M1577">
        <v>73.989999999999995</v>
      </c>
      <c r="N1577">
        <v>66.590999999999994</v>
      </c>
      <c r="O1577">
        <v>31</v>
      </c>
      <c r="P1577">
        <v>35.590999999999994</v>
      </c>
    </row>
    <row r="1578" spans="1:16" x14ac:dyDescent="0.3">
      <c r="A1578" s="1">
        <v>45962</v>
      </c>
      <c r="B1578" s="2" t="s">
        <v>56</v>
      </c>
      <c r="C1578" s="2" t="s">
        <v>62</v>
      </c>
      <c r="D1578" s="2" t="s">
        <v>46</v>
      </c>
      <c r="E1578" s="2" t="s">
        <v>51</v>
      </c>
      <c r="F1578" s="2" t="s">
        <v>43</v>
      </c>
      <c r="G1578" s="2" t="s">
        <v>63</v>
      </c>
      <c r="H1578">
        <v>1</v>
      </c>
      <c r="I1578">
        <v>11</v>
      </c>
      <c r="J1578">
        <v>572.05999999999995</v>
      </c>
      <c r="K1578">
        <v>0.12</v>
      </c>
      <c r="L1578">
        <v>395</v>
      </c>
      <c r="M1578">
        <v>6292.66</v>
      </c>
      <c r="N1578">
        <v>5537.5407999999998</v>
      </c>
      <c r="O1578">
        <v>4345</v>
      </c>
      <c r="P1578">
        <v>1192.5407999999998</v>
      </c>
    </row>
    <row r="1579" spans="1:16" x14ac:dyDescent="0.3">
      <c r="A1579" s="1">
        <v>45962</v>
      </c>
      <c r="B1579" s="2" t="s">
        <v>56</v>
      </c>
      <c r="C1579" s="2" t="s">
        <v>62</v>
      </c>
      <c r="D1579" s="2" t="s">
        <v>41</v>
      </c>
      <c r="E1579" s="2" t="s">
        <v>42</v>
      </c>
      <c r="F1579" s="2" t="s">
        <v>43</v>
      </c>
      <c r="G1579" s="2" t="s">
        <v>193</v>
      </c>
      <c r="H1579">
        <v>1</v>
      </c>
      <c r="I1579">
        <v>2</v>
      </c>
      <c r="J1579">
        <v>289.3</v>
      </c>
      <c r="K1579">
        <v>0.05</v>
      </c>
      <c r="L1579">
        <v>182</v>
      </c>
      <c r="M1579">
        <v>578.6</v>
      </c>
      <c r="N1579">
        <v>549.66999999999996</v>
      </c>
      <c r="O1579">
        <v>364</v>
      </c>
      <c r="P1579">
        <v>185.66999999999996</v>
      </c>
    </row>
    <row r="1580" spans="1:16" x14ac:dyDescent="0.3">
      <c r="A1580" s="1">
        <v>45962</v>
      </c>
      <c r="B1580" s="2" t="s">
        <v>75</v>
      </c>
      <c r="C1580" s="2" t="s">
        <v>101</v>
      </c>
      <c r="D1580" s="2" t="s">
        <v>50</v>
      </c>
      <c r="E1580" s="2" t="s">
        <v>51</v>
      </c>
      <c r="F1580" s="2" t="s">
        <v>43</v>
      </c>
      <c r="G1580" s="2" t="s">
        <v>149</v>
      </c>
      <c r="H1580">
        <v>1</v>
      </c>
      <c r="I1580">
        <v>12</v>
      </c>
      <c r="J1580">
        <v>555.95000000000005</v>
      </c>
      <c r="K1580">
        <v>0.08</v>
      </c>
      <c r="L1580">
        <v>395</v>
      </c>
      <c r="M1580">
        <v>6671.4000000000005</v>
      </c>
      <c r="N1580">
        <v>6137.688000000001</v>
      </c>
      <c r="O1580">
        <v>4740</v>
      </c>
      <c r="P1580">
        <v>1397.688000000001</v>
      </c>
    </row>
    <row r="1581" spans="1:16" x14ac:dyDescent="0.3">
      <c r="A1581" s="1">
        <v>45962</v>
      </c>
      <c r="B1581" s="2" t="s">
        <v>65</v>
      </c>
      <c r="C1581" s="2" t="s">
        <v>134</v>
      </c>
      <c r="D1581" s="2" t="s">
        <v>41</v>
      </c>
      <c r="E1581" s="2" t="s">
        <v>47</v>
      </c>
      <c r="F1581" s="2" t="s">
        <v>48</v>
      </c>
      <c r="G1581" s="2" t="s">
        <v>218</v>
      </c>
      <c r="H1581">
        <v>1</v>
      </c>
      <c r="I1581">
        <v>5</v>
      </c>
      <c r="J1581">
        <v>143.19999999999999</v>
      </c>
      <c r="K1581">
        <v>0</v>
      </c>
      <c r="L1581">
        <v>63</v>
      </c>
      <c r="M1581">
        <v>716</v>
      </c>
      <c r="N1581">
        <v>716</v>
      </c>
      <c r="O1581">
        <v>315</v>
      </c>
      <c r="P1581">
        <v>401</v>
      </c>
    </row>
    <row r="1582" spans="1:16" x14ac:dyDescent="0.3">
      <c r="A1582" s="1">
        <v>45962</v>
      </c>
      <c r="B1582" s="2" t="s">
        <v>39</v>
      </c>
      <c r="C1582" s="2" t="s">
        <v>40</v>
      </c>
      <c r="D1582" s="2" t="s">
        <v>41</v>
      </c>
      <c r="E1582" s="2" t="s">
        <v>51</v>
      </c>
      <c r="F1582" s="2" t="s">
        <v>48</v>
      </c>
      <c r="G1582" s="2" t="s">
        <v>200</v>
      </c>
      <c r="H1582">
        <v>1</v>
      </c>
      <c r="I1582">
        <v>17</v>
      </c>
      <c r="J1582">
        <v>122.47</v>
      </c>
      <c r="K1582">
        <v>0</v>
      </c>
      <c r="L1582">
        <v>63</v>
      </c>
      <c r="M1582">
        <v>2081.9899999999998</v>
      </c>
      <c r="N1582">
        <v>2081.9899999999998</v>
      </c>
      <c r="O1582">
        <v>1071</v>
      </c>
      <c r="P1582">
        <v>1010.9899999999998</v>
      </c>
    </row>
    <row r="1583" spans="1:16" x14ac:dyDescent="0.3">
      <c r="A1583" s="1">
        <v>45962</v>
      </c>
      <c r="B1583" s="2" t="s">
        <v>39</v>
      </c>
      <c r="C1583" s="2" t="s">
        <v>152</v>
      </c>
      <c r="D1583" s="2" t="s">
        <v>41</v>
      </c>
      <c r="E1583" s="2" t="s">
        <v>42</v>
      </c>
      <c r="F1583" s="2" t="s">
        <v>48</v>
      </c>
      <c r="G1583" s="2" t="s">
        <v>153</v>
      </c>
      <c r="H1583">
        <v>1</v>
      </c>
      <c r="I1583">
        <v>2</v>
      </c>
      <c r="J1583">
        <v>23.05</v>
      </c>
      <c r="K1583">
        <v>0.1</v>
      </c>
      <c r="L1583">
        <v>8</v>
      </c>
      <c r="M1583">
        <v>46.1</v>
      </c>
      <c r="N1583">
        <v>41.49</v>
      </c>
      <c r="O1583">
        <v>16</v>
      </c>
      <c r="P1583">
        <v>25.490000000000002</v>
      </c>
    </row>
    <row r="1584" spans="1:16" x14ac:dyDescent="0.3">
      <c r="A1584" s="1">
        <v>45962</v>
      </c>
      <c r="B1584" s="2" t="s">
        <v>197</v>
      </c>
      <c r="C1584" s="2" t="s">
        <v>40</v>
      </c>
      <c r="D1584" s="2" t="s">
        <v>50</v>
      </c>
      <c r="E1584" s="2" t="s">
        <v>47</v>
      </c>
      <c r="F1584" s="2" t="s">
        <v>43</v>
      </c>
      <c r="G1584" s="2" t="s">
        <v>198</v>
      </c>
      <c r="H1584">
        <v>1</v>
      </c>
      <c r="I1584">
        <v>2</v>
      </c>
      <c r="J1584">
        <v>635.07000000000005</v>
      </c>
      <c r="K1584">
        <v>0</v>
      </c>
      <c r="L1584">
        <v>395</v>
      </c>
      <c r="M1584">
        <v>1270.1400000000001</v>
      </c>
      <c r="N1584">
        <v>1270.1400000000001</v>
      </c>
      <c r="O1584">
        <v>790</v>
      </c>
      <c r="P1584">
        <v>480.1400000000001</v>
      </c>
    </row>
    <row r="1585" spans="1:16" x14ac:dyDescent="0.3">
      <c r="A1585" s="1">
        <v>45962</v>
      </c>
      <c r="B1585" s="2" t="s">
        <v>39</v>
      </c>
      <c r="C1585" s="2" t="s">
        <v>40</v>
      </c>
      <c r="D1585" s="2" t="s">
        <v>41</v>
      </c>
      <c r="E1585" s="2" t="s">
        <v>42</v>
      </c>
      <c r="F1585" s="2" t="s">
        <v>43</v>
      </c>
      <c r="G1585" s="2" t="s">
        <v>159</v>
      </c>
      <c r="H1585">
        <v>1</v>
      </c>
      <c r="I1585">
        <v>1</v>
      </c>
      <c r="J1585">
        <v>592.54999999999995</v>
      </c>
      <c r="K1585">
        <v>0.1</v>
      </c>
      <c r="L1585">
        <v>395</v>
      </c>
      <c r="M1585">
        <v>592.54999999999995</v>
      </c>
      <c r="N1585">
        <v>533.29499999999996</v>
      </c>
      <c r="O1585">
        <v>395</v>
      </c>
      <c r="P1585">
        <v>138.29499999999996</v>
      </c>
    </row>
    <row r="1586" spans="1:16" x14ac:dyDescent="0.3">
      <c r="A1586" s="1">
        <v>45962</v>
      </c>
      <c r="B1586" s="2" t="s">
        <v>39</v>
      </c>
      <c r="C1586" s="2" t="s">
        <v>40</v>
      </c>
      <c r="D1586" s="2" t="s">
        <v>50</v>
      </c>
      <c r="E1586" s="2" t="s">
        <v>47</v>
      </c>
      <c r="F1586" s="2" t="s">
        <v>43</v>
      </c>
      <c r="G1586" s="2" t="s">
        <v>124</v>
      </c>
      <c r="H1586">
        <v>1</v>
      </c>
      <c r="I1586">
        <v>3</v>
      </c>
      <c r="J1586">
        <v>109.2</v>
      </c>
      <c r="K1586">
        <v>0.05</v>
      </c>
      <c r="L1586">
        <v>54</v>
      </c>
      <c r="M1586">
        <v>327.60000000000002</v>
      </c>
      <c r="N1586">
        <v>311.22000000000003</v>
      </c>
      <c r="O1586">
        <v>162</v>
      </c>
      <c r="P1586">
        <v>149.22000000000003</v>
      </c>
    </row>
    <row r="1587" spans="1:16" x14ac:dyDescent="0.3">
      <c r="A1587" s="1">
        <v>45962</v>
      </c>
      <c r="B1587" s="2" t="s">
        <v>39</v>
      </c>
      <c r="C1587" s="2" t="s">
        <v>45</v>
      </c>
      <c r="D1587" s="2" t="s">
        <v>46</v>
      </c>
      <c r="E1587" s="2" t="s">
        <v>51</v>
      </c>
      <c r="F1587" s="2" t="s">
        <v>52</v>
      </c>
      <c r="G1587" s="2" t="s">
        <v>49</v>
      </c>
      <c r="H1587">
        <v>1</v>
      </c>
      <c r="I1587">
        <v>8</v>
      </c>
      <c r="J1587">
        <v>194.7</v>
      </c>
      <c r="K1587">
        <v>0.1</v>
      </c>
      <c r="L1587">
        <v>124</v>
      </c>
      <c r="M1587">
        <v>1557.6</v>
      </c>
      <c r="N1587">
        <v>1401.84</v>
      </c>
      <c r="O1587">
        <v>992</v>
      </c>
      <c r="P1587">
        <v>409.83999999999992</v>
      </c>
    </row>
    <row r="1588" spans="1:16" x14ac:dyDescent="0.3">
      <c r="A1588" s="1">
        <v>45962</v>
      </c>
      <c r="B1588" s="2" t="s">
        <v>83</v>
      </c>
      <c r="C1588" s="2" t="s">
        <v>164</v>
      </c>
      <c r="D1588" s="2" t="s">
        <v>50</v>
      </c>
      <c r="E1588" s="2" t="s">
        <v>47</v>
      </c>
      <c r="F1588" s="2" t="s">
        <v>43</v>
      </c>
      <c r="G1588" s="2" t="s">
        <v>232</v>
      </c>
      <c r="H1588">
        <v>1</v>
      </c>
      <c r="I1588">
        <v>1</v>
      </c>
      <c r="J1588">
        <v>838.58</v>
      </c>
      <c r="K1588">
        <v>0.1</v>
      </c>
      <c r="L1588">
        <v>520</v>
      </c>
      <c r="M1588">
        <v>838.58</v>
      </c>
      <c r="N1588">
        <v>754.72200000000009</v>
      </c>
      <c r="O1588">
        <v>520</v>
      </c>
      <c r="P1588">
        <v>234.72200000000009</v>
      </c>
    </row>
    <row r="1589" spans="1:16" x14ac:dyDescent="0.3">
      <c r="A1589" s="1">
        <v>45962</v>
      </c>
      <c r="B1589" s="2" t="s">
        <v>83</v>
      </c>
      <c r="C1589" s="2" t="s">
        <v>164</v>
      </c>
      <c r="D1589" s="2" t="s">
        <v>50</v>
      </c>
      <c r="E1589" s="2" t="s">
        <v>47</v>
      </c>
      <c r="F1589" s="2" t="s">
        <v>48</v>
      </c>
      <c r="G1589" s="2" t="s">
        <v>232</v>
      </c>
      <c r="H1589">
        <v>1</v>
      </c>
      <c r="I1589">
        <v>2</v>
      </c>
      <c r="J1589">
        <v>96.95</v>
      </c>
      <c r="K1589">
        <v>0.12</v>
      </c>
      <c r="L1589">
        <v>39</v>
      </c>
      <c r="M1589">
        <v>193.9</v>
      </c>
      <c r="N1589">
        <v>170.63200000000001</v>
      </c>
      <c r="O1589">
        <v>78</v>
      </c>
      <c r="P1589">
        <v>92.632000000000005</v>
      </c>
    </row>
    <row r="1590" spans="1:16" x14ac:dyDescent="0.3">
      <c r="A1590" s="1">
        <v>45962</v>
      </c>
      <c r="B1590" s="2" t="s">
        <v>83</v>
      </c>
      <c r="C1590" s="2" t="s">
        <v>84</v>
      </c>
      <c r="D1590" s="2" t="s">
        <v>46</v>
      </c>
      <c r="E1590" s="2" t="s">
        <v>42</v>
      </c>
      <c r="F1590" s="2" t="s">
        <v>48</v>
      </c>
      <c r="G1590" s="2" t="s">
        <v>191</v>
      </c>
      <c r="H1590">
        <v>1</v>
      </c>
      <c r="I1590">
        <v>1</v>
      </c>
      <c r="J1590">
        <v>133.78</v>
      </c>
      <c r="K1590">
        <v>0.1</v>
      </c>
      <c r="L1590">
        <v>63</v>
      </c>
      <c r="M1590">
        <v>133.78</v>
      </c>
      <c r="N1590">
        <v>120.402</v>
      </c>
      <c r="O1590">
        <v>63</v>
      </c>
      <c r="P1590">
        <v>57.402000000000001</v>
      </c>
    </row>
    <row r="1591" spans="1:16" x14ac:dyDescent="0.3">
      <c r="A1591" s="1">
        <v>45962</v>
      </c>
      <c r="B1591" s="2" t="s">
        <v>39</v>
      </c>
      <c r="C1591" s="2" t="s">
        <v>92</v>
      </c>
      <c r="D1591" s="2" t="s">
        <v>50</v>
      </c>
      <c r="E1591" s="2" t="s">
        <v>42</v>
      </c>
      <c r="F1591" s="2" t="s">
        <v>48</v>
      </c>
      <c r="G1591" s="2" t="s">
        <v>130</v>
      </c>
      <c r="H1591">
        <v>1</v>
      </c>
      <c r="I1591">
        <v>2</v>
      </c>
      <c r="J1591">
        <v>24.38</v>
      </c>
      <c r="K1591">
        <v>0.05</v>
      </c>
      <c r="L1591">
        <v>8</v>
      </c>
      <c r="M1591">
        <v>48.76</v>
      </c>
      <c r="N1591">
        <v>46.321999999999996</v>
      </c>
      <c r="O1591">
        <v>16</v>
      </c>
      <c r="P1591">
        <v>30.321999999999996</v>
      </c>
    </row>
    <row r="1592" spans="1:16" x14ac:dyDescent="0.3">
      <c r="A1592" s="1">
        <v>45962</v>
      </c>
      <c r="B1592" s="2" t="s">
        <v>39</v>
      </c>
      <c r="C1592" s="2" t="s">
        <v>92</v>
      </c>
      <c r="D1592" s="2" t="s">
        <v>50</v>
      </c>
      <c r="E1592" s="2" t="s">
        <v>42</v>
      </c>
      <c r="F1592" s="2" t="s">
        <v>43</v>
      </c>
      <c r="G1592" s="2" t="s">
        <v>130</v>
      </c>
      <c r="H1592">
        <v>1</v>
      </c>
      <c r="I1592">
        <v>1</v>
      </c>
      <c r="J1592">
        <v>613.02</v>
      </c>
      <c r="K1592">
        <v>0.1</v>
      </c>
      <c r="L1592">
        <v>395</v>
      </c>
      <c r="M1592">
        <v>613.02</v>
      </c>
      <c r="N1592">
        <v>551.71799999999996</v>
      </c>
      <c r="O1592">
        <v>395</v>
      </c>
      <c r="P1592">
        <v>156.71799999999996</v>
      </c>
    </row>
    <row r="1593" spans="1:16" x14ac:dyDescent="0.3">
      <c r="A1593" s="1">
        <v>45962</v>
      </c>
      <c r="B1593" s="2" t="s">
        <v>39</v>
      </c>
      <c r="C1593" s="2" t="s">
        <v>40</v>
      </c>
      <c r="D1593" s="2" t="s">
        <v>46</v>
      </c>
      <c r="E1593" s="2" t="s">
        <v>42</v>
      </c>
      <c r="F1593" s="2" t="s">
        <v>48</v>
      </c>
      <c r="G1593" s="2" t="s">
        <v>207</v>
      </c>
      <c r="H1593">
        <v>1</v>
      </c>
      <c r="I1593">
        <v>4</v>
      </c>
      <c r="J1593">
        <v>92.89</v>
      </c>
      <c r="K1593">
        <v>0.12</v>
      </c>
      <c r="L1593">
        <v>39</v>
      </c>
      <c r="M1593">
        <v>371.56</v>
      </c>
      <c r="N1593">
        <v>326.97280000000001</v>
      </c>
      <c r="O1593">
        <v>156</v>
      </c>
      <c r="P1593">
        <v>170.97280000000001</v>
      </c>
    </row>
    <row r="1594" spans="1:16" x14ac:dyDescent="0.3">
      <c r="A1594" s="1">
        <v>45962</v>
      </c>
      <c r="B1594" s="2" t="s">
        <v>39</v>
      </c>
      <c r="C1594" s="2" t="s">
        <v>40</v>
      </c>
      <c r="D1594" s="2" t="s">
        <v>41</v>
      </c>
      <c r="E1594" s="2" t="s">
        <v>42</v>
      </c>
      <c r="F1594" s="2" t="s">
        <v>43</v>
      </c>
      <c r="G1594" s="2" t="s">
        <v>189</v>
      </c>
      <c r="H1594">
        <v>2</v>
      </c>
      <c r="I1594">
        <v>6</v>
      </c>
      <c r="J1594">
        <v>828.61</v>
      </c>
      <c r="K1594">
        <v>0</v>
      </c>
      <c r="L1594">
        <v>520</v>
      </c>
      <c r="M1594">
        <v>4971.66</v>
      </c>
      <c r="N1594">
        <v>4971.66</v>
      </c>
      <c r="O1594">
        <v>3120</v>
      </c>
      <c r="P1594">
        <v>1851.6599999999999</v>
      </c>
    </row>
    <row r="1595" spans="1:16" x14ac:dyDescent="0.3">
      <c r="A1595" s="1">
        <v>45962</v>
      </c>
      <c r="B1595" s="2" t="s">
        <v>39</v>
      </c>
      <c r="C1595" s="2" t="s">
        <v>40</v>
      </c>
      <c r="D1595" s="2" t="s">
        <v>41</v>
      </c>
      <c r="E1595" s="2" t="s">
        <v>42</v>
      </c>
      <c r="F1595" s="2" t="s">
        <v>48</v>
      </c>
      <c r="G1595" s="2" t="s">
        <v>189</v>
      </c>
      <c r="H1595">
        <v>1</v>
      </c>
      <c r="I1595">
        <v>2</v>
      </c>
      <c r="J1595">
        <v>75.08</v>
      </c>
      <c r="K1595">
        <v>0</v>
      </c>
      <c r="L1595">
        <v>31</v>
      </c>
      <c r="M1595">
        <v>150.16</v>
      </c>
      <c r="N1595">
        <v>150.16</v>
      </c>
      <c r="O1595">
        <v>62</v>
      </c>
      <c r="P1595">
        <v>88.16</v>
      </c>
    </row>
    <row r="1596" spans="1:16" x14ac:dyDescent="0.3">
      <c r="A1596" s="1">
        <v>45962</v>
      </c>
      <c r="B1596" s="2" t="s">
        <v>39</v>
      </c>
      <c r="C1596" s="2" t="s">
        <v>40</v>
      </c>
      <c r="D1596" s="2" t="s">
        <v>41</v>
      </c>
      <c r="E1596" s="2" t="s">
        <v>42</v>
      </c>
      <c r="F1596" s="2" t="s">
        <v>43</v>
      </c>
      <c r="G1596" s="2" t="s">
        <v>200</v>
      </c>
      <c r="H1596">
        <v>1</v>
      </c>
      <c r="I1596">
        <v>3</v>
      </c>
      <c r="J1596">
        <v>108.52</v>
      </c>
      <c r="K1596">
        <v>0</v>
      </c>
      <c r="L1596">
        <v>54</v>
      </c>
      <c r="M1596">
        <v>325.56</v>
      </c>
      <c r="N1596">
        <v>325.56</v>
      </c>
      <c r="O1596">
        <v>162</v>
      </c>
      <c r="P1596">
        <v>163.56</v>
      </c>
    </row>
    <row r="1597" spans="1:16" x14ac:dyDescent="0.3">
      <c r="A1597" s="1">
        <v>45962</v>
      </c>
      <c r="B1597" s="2" t="s">
        <v>39</v>
      </c>
      <c r="C1597" s="2" t="s">
        <v>92</v>
      </c>
      <c r="D1597" s="2" t="s">
        <v>50</v>
      </c>
      <c r="E1597" s="2" t="s">
        <v>51</v>
      </c>
      <c r="F1597" s="2" t="s">
        <v>43</v>
      </c>
      <c r="G1597" s="2" t="s">
        <v>230</v>
      </c>
      <c r="H1597">
        <v>1</v>
      </c>
      <c r="I1597">
        <v>4</v>
      </c>
      <c r="J1597">
        <v>577.67999999999995</v>
      </c>
      <c r="K1597">
        <v>0.05</v>
      </c>
      <c r="L1597">
        <v>395</v>
      </c>
      <c r="M1597">
        <v>2310.7199999999998</v>
      </c>
      <c r="N1597">
        <v>2195.1839999999997</v>
      </c>
      <c r="O1597">
        <v>1580</v>
      </c>
      <c r="P1597">
        <v>615.18399999999974</v>
      </c>
    </row>
    <row r="1598" spans="1:16" x14ac:dyDescent="0.3">
      <c r="A1598" s="1">
        <v>45962</v>
      </c>
      <c r="B1598" s="2" t="s">
        <v>197</v>
      </c>
      <c r="C1598" s="2" t="s">
        <v>40</v>
      </c>
      <c r="D1598" s="2" t="s">
        <v>50</v>
      </c>
      <c r="E1598" s="2" t="s">
        <v>42</v>
      </c>
      <c r="F1598" s="2" t="s">
        <v>48</v>
      </c>
      <c r="G1598" s="2" t="s">
        <v>198</v>
      </c>
      <c r="H1598">
        <v>1</v>
      </c>
      <c r="I1598">
        <v>2</v>
      </c>
      <c r="J1598">
        <v>22.81</v>
      </c>
      <c r="K1598">
        <v>0.05</v>
      </c>
      <c r="L1598">
        <v>8</v>
      </c>
      <c r="M1598">
        <v>45.62</v>
      </c>
      <c r="N1598">
        <v>43.338999999999999</v>
      </c>
      <c r="O1598">
        <v>16</v>
      </c>
      <c r="P1598">
        <v>27.338999999999999</v>
      </c>
    </row>
    <row r="1599" spans="1:16" x14ac:dyDescent="0.3">
      <c r="A1599" s="1">
        <v>45962</v>
      </c>
      <c r="B1599" s="2" t="s">
        <v>83</v>
      </c>
      <c r="C1599" s="2" t="s">
        <v>84</v>
      </c>
      <c r="D1599" s="2" t="s">
        <v>46</v>
      </c>
      <c r="E1599" s="2" t="s">
        <v>47</v>
      </c>
      <c r="F1599" s="2" t="s">
        <v>48</v>
      </c>
      <c r="G1599" s="2" t="s">
        <v>191</v>
      </c>
      <c r="H1599">
        <v>1</v>
      </c>
      <c r="I1599">
        <v>6</v>
      </c>
      <c r="J1599">
        <v>23.95</v>
      </c>
      <c r="K1599">
        <v>0.08</v>
      </c>
      <c r="L1599">
        <v>8</v>
      </c>
      <c r="M1599">
        <v>143.69999999999999</v>
      </c>
      <c r="N1599">
        <v>132.20400000000001</v>
      </c>
      <c r="O1599">
        <v>48</v>
      </c>
      <c r="P1599">
        <v>84.204000000000008</v>
      </c>
    </row>
    <row r="1600" spans="1:16" x14ac:dyDescent="0.3">
      <c r="A1600" s="1">
        <v>45962</v>
      </c>
      <c r="B1600" s="2" t="s">
        <v>83</v>
      </c>
      <c r="C1600" s="2" t="s">
        <v>84</v>
      </c>
      <c r="D1600" s="2" t="s">
        <v>46</v>
      </c>
      <c r="E1600" s="2" t="s">
        <v>47</v>
      </c>
      <c r="F1600" s="2" t="s">
        <v>43</v>
      </c>
      <c r="G1600" s="2" t="s">
        <v>191</v>
      </c>
      <c r="H1600">
        <v>1</v>
      </c>
      <c r="I1600">
        <v>4</v>
      </c>
      <c r="J1600">
        <v>879.36</v>
      </c>
      <c r="K1600">
        <v>0.05</v>
      </c>
      <c r="L1600">
        <v>520</v>
      </c>
      <c r="M1600">
        <v>3517.44</v>
      </c>
      <c r="N1600">
        <v>3341.5679999999998</v>
      </c>
      <c r="O1600">
        <v>2080</v>
      </c>
      <c r="P1600">
        <v>1261.5679999999998</v>
      </c>
    </row>
    <row r="1601" spans="1:16" x14ac:dyDescent="0.3">
      <c r="A1601" s="1">
        <v>45962</v>
      </c>
      <c r="B1601" s="2" t="s">
        <v>39</v>
      </c>
      <c r="C1601" s="2" t="s">
        <v>45</v>
      </c>
      <c r="D1601" s="2" t="s">
        <v>41</v>
      </c>
      <c r="E1601" s="2" t="s">
        <v>42</v>
      </c>
      <c r="F1601" s="2" t="s">
        <v>52</v>
      </c>
      <c r="G1601" s="2" t="s">
        <v>194</v>
      </c>
      <c r="H1601">
        <v>1</v>
      </c>
      <c r="I1601">
        <v>3</v>
      </c>
      <c r="J1601">
        <v>42.25</v>
      </c>
      <c r="K1601">
        <v>0</v>
      </c>
      <c r="L1601">
        <v>18</v>
      </c>
      <c r="M1601">
        <v>126.75</v>
      </c>
      <c r="N1601">
        <v>126.75</v>
      </c>
      <c r="O1601">
        <v>54</v>
      </c>
      <c r="P1601">
        <v>72.75</v>
      </c>
    </row>
    <row r="1602" spans="1:16" x14ac:dyDescent="0.3">
      <c r="A1602" s="1">
        <v>45962</v>
      </c>
      <c r="B1602" s="2" t="s">
        <v>39</v>
      </c>
      <c r="C1602" s="2" t="s">
        <v>45</v>
      </c>
      <c r="D1602" s="2" t="s">
        <v>41</v>
      </c>
      <c r="E1602" s="2" t="s">
        <v>42</v>
      </c>
      <c r="F1602" s="2" t="s">
        <v>48</v>
      </c>
      <c r="G1602" s="2" t="s">
        <v>194</v>
      </c>
      <c r="H1602">
        <v>1</v>
      </c>
      <c r="I1602">
        <v>2</v>
      </c>
      <c r="J1602">
        <v>131.33000000000001</v>
      </c>
      <c r="K1602">
        <v>0</v>
      </c>
      <c r="L1602">
        <v>63</v>
      </c>
      <c r="M1602">
        <v>262.66000000000003</v>
      </c>
      <c r="N1602">
        <v>262.66000000000003</v>
      </c>
      <c r="O1602">
        <v>126</v>
      </c>
      <c r="P1602">
        <v>136.66000000000003</v>
      </c>
    </row>
    <row r="1603" spans="1:16" x14ac:dyDescent="0.3">
      <c r="A1603" s="1">
        <v>45962</v>
      </c>
      <c r="B1603" s="2" t="s">
        <v>39</v>
      </c>
      <c r="C1603" s="2" t="s">
        <v>45</v>
      </c>
      <c r="D1603" s="2" t="s">
        <v>158</v>
      </c>
      <c r="E1603" s="2" t="s">
        <v>42</v>
      </c>
      <c r="F1603" s="2" t="s">
        <v>52</v>
      </c>
      <c r="G1603" s="2" t="s">
        <v>86</v>
      </c>
      <c r="H1603">
        <v>2</v>
      </c>
      <c r="I1603">
        <v>3</v>
      </c>
      <c r="J1603">
        <v>122.00500000000001</v>
      </c>
      <c r="K1603">
        <v>0.05</v>
      </c>
      <c r="L1603">
        <v>629</v>
      </c>
      <c r="M1603">
        <v>446.28000000000003</v>
      </c>
      <c r="N1603">
        <v>442.10599999999999</v>
      </c>
      <c r="O1603">
        <v>2498</v>
      </c>
      <c r="P1603">
        <v>-2055.8940000000002</v>
      </c>
    </row>
    <row r="1604" spans="1:16" x14ac:dyDescent="0.3">
      <c r="A1604" s="1">
        <v>45962</v>
      </c>
      <c r="B1604" s="2" t="s">
        <v>39</v>
      </c>
      <c r="C1604" s="2" t="s">
        <v>45</v>
      </c>
      <c r="D1604" s="2" t="s">
        <v>158</v>
      </c>
      <c r="E1604" s="2" t="s">
        <v>42</v>
      </c>
      <c r="F1604" s="2" t="s">
        <v>48</v>
      </c>
      <c r="G1604" s="2" t="s">
        <v>86</v>
      </c>
      <c r="H1604">
        <v>1</v>
      </c>
      <c r="I1604">
        <v>2</v>
      </c>
      <c r="J1604">
        <v>91.05</v>
      </c>
      <c r="K1604">
        <v>0</v>
      </c>
      <c r="L1604">
        <v>39</v>
      </c>
      <c r="M1604">
        <v>182.1</v>
      </c>
      <c r="N1604">
        <v>182.1</v>
      </c>
      <c r="O1604">
        <v>78</v>
      </c>
      <c r="P1604">
        <v>104.1</v>
      </c>
    </row>
    <row r="1605" spans="1:16" x14ac:dyDescent="0.3">
      <c r="A1605" s="1">
        <v>45962</v>
      </c>
      <c r="B1605" s="2" t="s">
        <v>65</v>
      </c>
      <c r="C1605" s="2" t="s">
        <v>66</v>
      </c>
      <c r="D1605" s="2" t="s">
        <v>50</v>
      </c>
      <c r="E1605" s="2" t="s">
        <v>42</v>
      </c>
      <c r="F1605" s="2" t="s">
        <v>52</v>
      </c>
      <c r="G1605" s="2" t="s">
        <v>103</v>
      </c>
      <c r="H1605">
        <v>1</v>
      </c>
      <c r="I1605">
        <v>1</v>
      </c>
      <c r="J1605">
        <v>42.04</v>
      </c>
      <c r="K1605">
        <v>0.12</v>
      </c>
      <c r="L1605">
        <v>18</v>
      </c>
      <c r="M1605">
        <v>42.04</v>
      </c>
      <c r="N1605">
        <v>36.995199999999997</v>
      </c>
      <c r="O1605">
        <v>18</v>
      </c>
      <c r="P1605">
        <v>18.995199999999997</v>
      </c>
    </row>
    <row r="1606" spans="1:16" x14ac:dyDescent="0.3">
      <c r="A1606" s="1">
        <v>45962</v>
      </c>
      <c r="B1606" s="2" t="s">
        <v>56</v>
      </c>
      <c r="C1606" s="2" t="s">
        <v>57</v>
      </c>
      <c r="D1606" s="2" t="s">
        <v>50</v>
      </c>
      <c r="E1606" s="2" t="s">
        <v>42</v>
      </c>
      <c r="F1606" s="2" t="s">
        <v>52</v>
      </c>
      <c r="G1606" s="2" t="s">
        <v>100</v>
      </c>
      <c r="H1606">
        <v>1</v>
      </c>
      <c r="I1606">
        <v>1</v>
      </c>
      <c r="J1606">
        <v>43.69</v>
      </c>
      <c r="K1606">
        <v>0.05</v>
      </c>
      <c r="L1606">
        <v>18</v>
      </c>
      <c r="M1606">
        <v>43.69</v>
      </c>
      <c r="N1606">
        <v>41.505499999999998</v>
      </c>
      <c r="O1606">
        <v>18</v>
      </c>
      <c r="P1606">
        <v>23.505499999999998</v>
      </c>
    </row>
    <row r="1607" spans="1:16" x14ac:dyDescent="0.3">
      <c r="A1607" s="1">
        <v>45962</v>
      </c>
      <c r="B1607" s="2" t="s">
        <v>39</v>
      </c>
      <c r="C1607" s="2" t="s">
        <v>40</v>
      </c>
      <c r="D1607" s="2" t="s">
        <v>41</v>
      </c>
      <c r="E1607" s="2" t="s">
        <v>42</v>
      </c>
      <c r="F1607" s="2" t="s">
        <v>43</v>
      </c>
      <c r="G1607" s="2" t="s">
        <v>86</v>
      </c>
      <c r="H1607">
        <v>2</v>
      </c>
      <c r="I1607">
        <v>2</v>
      </c>
      <c r="J1607">
        <v>910.38</v>
      </c>
      <c r="K1607">
        <v>2.5000000000000001E-2</v>
      </c>
      <c r="L1607">
        <v>577.5</v>
      </c>
      <c r="M1607">
        <v>1820.76</v>
      </c>
      <c r="N1607">
        <v>1788.9955</v>
      </c>
      <c r="O1607">
        <v>1155</v>
      </c>
      <c r="P1607">
        <v>633.99549999999999</v>
      </c>
    </row>
    <row r="1608" spans="1:16" x14ac:dyDescent="0.3">
      <c r="A1608" s="1">
        <v>45962</v>
      </c>
      <c r="B1608" s="2" t="s">
        <v>39</v>
      </c>
      <c r="C1608" s="2" t="s">
        <v>54</v>
      </c>
      <c r="D1608" s="2" t="s">
        <v>50</v>
      </c>
      <c r="E1608" s="2" t="s">
        <v>42</v>
      </c>
      <c r="F1608" s="2" t="s">
        <v>48</v>
      </c>
      <c r="G1608" s="2" t="s">
        <v>178</v>
      </c>
      <c r="H1608">
        <v>1</v>
      </c>
      <c r="I1608">
        <v>2</v>
      </c>
      <c r="J1608">
        <v>91.99</v>
      </c>
      <c r="K1608">
        <v>0.12</v>
      </c>
      <c r="L1608">
        <v>39</v>
      </c>
      <c r="M1608">
        <v>183.98</v>
      </c>
      <c r="N1608">
        <v>161.9024</v>
      </c>
      <c r="O1608">
        <v>78</v>
      </c>
      <c r="P1608">
        <v>83.9024</v>
      </c>
    </row>
    <row r="1609" spans="1:16" x14ac:dyDescent="0.3">
      <c r="A1609" s="1">
        <v>45962</v>
      </c>
      <c r="B1609" s="2" t="s">
        <v>39</v>
      </c>
      <c r="C1609" s="2" t="s">
        <v>92</v>
      </c>
      <c r="D1609" s="2" t="s">
        <v>41</v>
      </c>
      <c r="E1609" s="2" t="s">
        <v>42</v>
      </c>
      <c r="F1609" s="2" t="s">
        <v>52</v>
      </c>
      <c r="G1609" s="2" t="s">
        <v>196</v>
      </c>
      <c r="H1609">
        <v>1</v>
      </c>
      <c r="I1609">
        <v>3</v>
      </c>
      <c r="J1609">
        <v>42.73</v>
      </c>
      <c r="K1609">
        <v>0</v>
      </c>
      <c r="L1609">
        <v>18</v>
      </c>
      <c r="M1609">
        <v>128.19</v>
      </c>
      <c r="N1609">
        <v>128.19</v>
      </c>
      <c r="O1609">
        <v>54</v>
      </c>
      <c r="P1609">
        <v>74.19</v>
      </c>
    </row>
    <row r="1610" spans="1:16" x14ac:dyDescent="0.3">
      <c r="A1610" s="1">
        <v>45962</v>
      </c>
      <c r="B1610" s="2" t="s">
        <v>39</v>
      </c>
      <c r="C1610" s="2" t="s">
        <v>92</v>
      </c>
      <c r="D1610" s="2" t="s">
        <v>41</v>
      </c>
      <c r="E1610" s="2" t="s">
        <v>42</v>
      </c>
      <c r="F1610" s="2" t="s">
        <v>48</v>
      </c>
      <c r="G1610" s="2" t="s">
        <v>196</v>
      </c>
      <c r="H1610">
        <v>1</v>
      </c>
      <c r="I1610">
        <v>4</v>
      </c>
      <c r="J1610">
        <v>96.31</v>
      </c>
      <c r="K1610">
        <v>0</v>
      </c>
      <c r="L1610">
        <v>39</v>
      </c>
      <c r="M1610">
        <v>385.24</v>
      </c>
      <c r="N1610">
        <v>385.24</v>
      </c>
      <c r="O1610">
        <v>156</v>
      </c>
      <c r="P1610">
        <v>229.24</v>
      </c>
    </row>
    <row r="1611" spans="1:16" x14ac:dyDescent="0.3">
      <c r="A1611" s="1">
        <v>45962</v>
      </c>
      <c r="B1611" s="2" t="s">
        <v>39</v>
      </c>
      <c r="C1611" s="2" t="s">
        <v>88</v>
      </c>
      <c r="D1611" s="2" t="s">
        <v>41</v>
      </c>
      <c r="E1611" s="2" t="s">
        <v>51</v>
      </c>
      <c r="F1611" s="2" t="s">
        <v>48</v>
      </c>
      <c r="G1611" s="2" t="s">
        <v>117</v>
      </c>
      <c r="H1611">
        <v>1</v>
      </c>
      <c r="I1611">
        <v>9</v>
      </c>
      <c r="J1611">
        <v>86.31</v>
      </c>
      <c r="K1611">
        <v>0</v>
      </c>
      <c r="L1611">
        <v>39</v>
      </c>
      <c r="M1611">
        <v>776.79</v>
      </c>
      <c r="N1611">
        <v>776.79</v>
      </c>
      <c r="O1611">
        <v>351</v>
      </c>
      <c r="P1611">
        <v>425.78999999999996</v>
      </c>
    </row>
    <row r="1612" spans="1:16" x14ac:dyDescent="0.3">
      <c r="A1612" s="1">
        <v>45992</v>
      </c>
      <c r="B1612" s="2" t="s">
        <v>56</v>
      </c>
      <c r="C1612" s="2" t="s">
        <v>57</v>
      </c>
      <c r="D1612" s="2" t="s">
        <v>50</v>
      </c>
      <c r="E1612" s="2" t="s">
        <v>42</v>
      </c>
      <c r="F1612" s="2" t="s">
        <v>48</v>
      </c>
      <c r="G1612" s="2" t="s">
        <v>60</v>
      </c>
      <c r="H1612">
        <v>1</v>
      </c>
      <c r="I1612">
        <v>4</v>
      </c>
      <c r="J1612">
        <v>22.81</v>
      </c>
      <c r="K1612">
        <v>0.08</v>
      </c>
      <c r="L1612">
        <v>8</v>
      </c>
      <c r="M1612">
        <v>91.24</v>
      </c>
      <c r="N1612">
        <v>83.940799999999996</v>
      </c>
      <c r="O1612">
        <v>32</v>
      </c>
      <c r="P1612">
        <v>51.940799999999996</v>
      </c>
    </row>
    <row r="1613" spans="1:16" x14ac:dyDescent="0.3">
      <c r="A1613" s="1">
        <v>45962</v>
      </c>
      <c r="B1613" s="2" t="s">
        <v>83</v>
      </c>
      <c r="C1613" s="2" t="s">
        <v>164</v>
      </c>
      <c r="D1613" s="2" t="s">
        <v>50</v>
      </c>
      <c r="E1613" s="2" t="s">
        <v>51</v>
      </c>
      <c r="F1613" s="2" t="s">
        <v>43</v>
      </c>
      <c r="G1613" s="2" t="s">
        <v>53</v>
      </c>
      <c r="H1613">
        <v>1</v>
      </c>
      <c r="I1613">
        <v>6</v>
      </c>
      <c r="J1613">
        <v>98.29</v>
      </c>
      <c r="K1613">
        <v>0.1</v>
      </c>
      <c r="L1613">
        <v>54</v>
      </c>
      <c r="M1613">
        <v>589.74</v>
      </c>
      <c r="N1613">
        <v>530.76600000000008</v>
      </c>
      <c r="O1613">
        <v>324</v>
      </c>
      <c r="P1613">
        <v>206.76600000000008</v>
      </c>
    </row>
    <row r="1614" spans="1:16" x14ac:dyDescent="0.3">
      <c r="A1614" s="1">
        <v>45962</v>
      </c>
      <c r="B1614" s="2" t="s">
        <v>56</v>
      </c>
      <c r="C1614" s="2" t="s">
        <v>57</v>
      </c>
      <c r="D1614" s="2" t="s">
        <v>50</v>
      </c>
      <c r="E1614" s="2" t="s">
        <v>47</v>
      </c>
      <c r="F1614" s="2" t="s">
        <v>48</v>
      </c>
      <c r="G1614" s="2" t="s">
        <v>150</v>
      </c>
      <c r="H1614">
        <v>1</v>
      </c>
      <c r="I1614">
        <v>6</v>
      </c>
      <c r="J1614">
        <v>24.37</v>
      </c>
      <c r="K1614">
        <v>0.12</v>
      </c>
      <c r="L1614">
        <v>8</v>
      </c>
      <c r="M1614">
        <v>146.22</v>
      </c>
      <c r="N1614">
        <v>128.67359999999999</v>
      </c>
      <c r="O1614">
        <v>48</v>
      </c>
      <c r="P1614">
        <v>80.673599999999993</v>
      </c>
    </row>
    <row r="1615" spans="1:16" x14ac:dyDescent="0.3">
      <c r="A1615" s="1">
        <v>45962</v>
      </c>
      <c r="B1615" s="2" t="s">
        <v>39</v>
      </c>
      <c r="C1615" s="2" t="s">
        <v>88</v>
      </c>
      <c r="D1615" s="2" t="s">
        <v>41</v>
      </c>
      <c r="E1615" s="2" t="s">
        <v>42</v>
      </c>
      <c r="F1615" s="2" t="s">
        <v>48</v>
      </c>
      <c r="G1615" s="2" t="s">
        <v>203</v>
      </c>
      <c r="H1615">
        <v>1</v>
      </c>
      <c r="I1615">
        <v>2</v>
      </c>
      <c r="J1615">
        <v>75.239999999999995</v>
      </c>
      <c r="K1615">
        <v>0</v>
      </c>
      <c r="L1615">
        <v>31</v>
      </c>
      <c r="M1615">
        <v>150.47999999999999</v>
      </c>
      <c r="N1615">
        <v>150.47999999999999</v>
      </c>
      <c r="O1615">
        <v>62</v>
      </c>
      <c r="P1615">
        <v>88.47999999999999</v>
      </c>
    </row>
    <row r="1616" spans="1:16" x14ac:dyDescent="0.3">
      <c r="A1616" s="1">
        <v>45962</v>
      </c>
      <c r="B1616" s="2" t="s">
        <v>39</v>
      </c>
      <c r="C1616" s="2" t="s">
        <v>45</v>
      </c>
      <c r="D1616" s="2" t="s">
        <v>46</v>
      </c>
      <c r="E1616" s="2" t="s">
        <v>51</v>
      </c>
      <c r="F1616" s="2" t="s">
        <v>48</v>
      </c>
      <c r="G1616" s="2" t="s">
        <v>49</v>
      </c>
      <c r="H1616">
        <v>2</v>
      </c>
      <c r="I1616">
        <v>36</v>
      </c>
      <c r="J1616">
        <v>94.715000000000003</v>
      </c>
      <c r="K1616">
        <v>0.125</v>
      </c>
      <c r="L1616">
        <v>47</v>
      </c>
      <c r="M1616">
        <v>3595.23</v>
      </c>
      <c r="N1616">
        <v>3187.857</v>
      </c>
      <c r="O1616">
        <v>1788</v>
      </c>
      <c r="P1616">
        <v>1399.857</v>
      </c>
    </row>
    <row r="1617" spans="1:16" x14ac:dyDescent="0.3">
      <c r="A1617" s="1">
        <v>45962</v>
      </c>
      <c r="B1617" s="2" t="s">
        <v>39</v>
      </c>
      <c r="C1617" s="2" t="s">
        <v>40</v>
      </c>
      <c r="D1617" s="2" t="s">
        <v>46</v>
      </c>
      <c r="E1617" s="2" t="s">
        <v>47</v>
      </c>
      <c r="F1617" s="2" t="s">
        <v>48</v>
      </c>
      <c r="G1617" s="2" t="s">
        <v>228</v>
      </c>
      <c r="H1617">
        <v>1</v>
      </c>
      <c r="I1617">
        <v>5</v>
      </c>
      <c r="J1617">
        <v>93.29</v>
      </c>
      <c r="K1617">
        <v>0.12</v>
      </c>
      <c r="L1617">
        <v>39</v>
      </c>
      <c r="M1617">
        <v>466.45000000000005</v>
      </c>
      <c r="N1617">
        <v>410.47600000000006</v>
      </c>
      <c r="O1617">
        <v>195</v>
      </c>
      <c r="P1617">
        <v>215.47600000000006</v>
      </c>
    </row>
    <row r="1618" spans="1:16" x14ac:dyDescent="0.3">
      <c r="A1618" s="1">
        <v>45962</v>
      </c>
      <c r="B1618" s="2" t="s">
        <v>39</v>
      </c>
      <c r="C1618" s="2" t="s">
        <v>88</v>
      </c>
      <c r="D1618" s="2" t="s">
        <v>41</v>
      </c>
      <c r="E1618" s="2" t="s">
        <v>42</v>
      </c>
      <c r="F1618" s="2" t="s">
        <v>43</v>
      </c>
      <c r="G1618" s="2" t="s">
        <v>181</v>
      </c>
      <c r="H1618">
        <v>2</v>
      </c>
      <c r="I1618">
        <v>5</v>
      </c>
      <c r="J1618">
        <v>385.24</v>
      </c>
      <c r="K1618">
        <v>0</v>
      </c>
      <c r="L1618">
        <v>240.5</v>
      </c>
      <c r="M1618">
        <v>2141.83</v>
      </c>
      <c r="N1618">
        <v>2141.83</v>
      </c>
      <c r="O1618">
        <v>1357</v>
      </c>
      <c r="P1618">
        <v>784.83000000000015</v>
      </c>
    </row>
    <row r="1619" spans="1:16" x14ac:dyDescent="0.3">
      <c r="A1619" s="1">
        <v>45962</v>
      </c>
      <c r="B1619" s="2" t="s">
        <v>56</v>
      </c>
      <c r="C1619" s="2" t="s">
        <v>57</v>
      </c>
      <c r="D1619" s="2" t="s">
        <v>46</v>
      </c>
      <c r="E1619" s="2" t="s">
        <v>47</v>
      </c>
      <c r="F1619" s="2" t="s">
        <v>43</v>
      </c>
      <c r="G1619" s="2" t="s">
        <v>219</v>
      </c>
      <c r="H1619">
        <v>1</v>
      </c>
      <c r="I1619">
        <v>3</v>
      </c>
      <c r="J1619">
        <v>1229.54</v>
      </c>
      <c r="K1619">
        <v>0.08</v>
      </c>
      <c r="L1619">
        <v>760</v>
      </c>
      <c r="M1619">
        <v>3688.62</v>
      </c>
      <c r="N1619">
        <v>3393.5304000000001</v>
      </c>
      <c r="O1619">
        <v>2280</v>
      </c>
      <c r="P1619">
        <v>1113.5304000000001</v>
      </c>
    </row>
    <row r="1620" spans="1:16" x14ac:dyDescent="0.3">
      <c r="A1620" s="1">
        <v>45962</v>
      </c>
      <c r="B1620" s="2" t="s">
        <v>39</v>
      </c>
      <c r="C1620" s="2" t="s">
        <v>40</v>
      </c>
      <c r="D1620" s="2" t="s">
        <v>41</v>
      </c>
      <c r="E1620" s="2" t="s">
        <v>42</v>
      </c>
      <c r="F1620" s="2" t="s">
        <v>48</v>
      </c>
      <c r="G1620" s="2" t="s">
        <v>44</v>
      </c>
      <c r="H1620">
        <v>1</v>
      </c>
      <c r="I1620">
        <v>1</v>
      </c>
      <c r="J1620">
        <v>139.25</v>
      </c>
      <c r="K1620">
        <v>0</v>
      </c>
      <c r="L1620">
        <v>63</v>
      </c>
      <c r="M1620">
        <v>139.25</v>
      </c>
      <c r="N1620">
        <v>139.25</v>
      </c>
      <c r="O1620">
        <v>63</v>
      </c>
      <c r="P1620">
        <v>76.25</v>
      </c>
    </row>
    <row r="1621" spans="1:16" x14ac:dyDescent="0.3">
      <c r="A1621" s="1">
        <v>45962</v>
      </c>
      <c r="B1621" s="2" t="s">
        <v>39</v>
      </c>
      <c r="C1621" s="2" t="s">
        <v>40</v>
      </c>
      <c r="D1621" s="2" t="s">
        <v>41</v>
      </c>
      <c r="E1621" s="2" t="s">
        <v>42</v>
      </c>
      <c r="F1621" s="2" t="s">
        <v>43</v>
      </c>
      <c r="G1621" s="2" t="s">
        <v>44</v>
      </c>
      <c r="H1621">
        <v>1</v>
      </c>
      <c r="I1621">
        <v>2</v>
      </c>
      <c r="J1621">
        <v>109</v>
      </c>
      <c r="K1621">
        <v>0</v>
      </c>
      <c r="L1621">
        <v>54</v>
      </c>
      <c r="M1621">
        <v>218</v>
      </c>
      <c r="N1621">
        <v>218</v>
      </c>
      <c r="O1621">
        <v>108</v>
      </c>
      <c r="P1621">
        <v>110</v>
      </c>
    </row>
    <row r="1622" spans="1:16" x14ac:dyDescent="0.3">
      <c r="A1622" s="1">
        <v>45962</v>
      </c>
      <c r="B1622" s="2" t="s">
        <v>39</v>
      </c>
      <c r="C1622" s="2" t="s">
        <v>54</v>
      </c>
      <c r="D1622" s="2" t="s">
        <v>41</v>
      </c>
      <c r="E1622" s="2" t="s">
        <v>42</v>
      </c>
      <c r="F1622" s="2" t="s">
        <v>43</v>
      </c>
      <c r="G1622" s="2" t="s">
        <v>138</v>
      </c>
      <c r="H1622">
        <v>1</v>
      </c>
      <c r="I1622">
        <v>1</v>
      </c>
      <c r="J1622">
        <v>861.71</v>
      </c>
      <c r="K1622">
        <v>0</v>
      </c>
      <c r="L1622">
        <v>520</v>
      </c>
      <c r="M1622">
        <v>861.71</v>
      </c>
      <c r="N1622">
        <v>861.71</v>
      </c>
      <c r="O1622">
        <v>520</v>
      </c>
      <c r="P1622">
        <v>341.71000000000004</v>
      </c>
    </row>
    <row r="1623" spans="1:16" x14ac:dyDescent="0.3">
      <c r="A1623" s="1">
        <v>45962</v>
      </c>
      <c r="B1623" s="2" t="s">
        <v>39</v>
      </c>
      <c r="C1623" s="2" t="s">
        <v>45</v>
      </c>
      <c r="D1623" s="2" t="s">
        <v>41</v>
      </c>
      <c r="E1623" s="2" t="s">
        <v>42</v>
      </c>
      <c r="F1623" s="2" t="s">
        <v>48</v>
      </c>
      <c r="G1623" s="2" t="s">
        <v>61</v>
      </c>
      <c r="H1623">
        <v>1</v>
      </c>
      <c r="I1623">
        <v>2</v>
      </c>
      <c r="J1623">
        <v>69.849999999999994</v>
      </c>
      <c r="K1623">
        <v>0</v>
      </c>
      <c r="L1623">
        <v>31</v>
      </c>
      <c r="M1623">
        <v>139.69999999999999</v>
      </c>
      <c r="N1623">
        <v>139.69999999999999</v>
      </c>
      <c r="O1623">
        <v>62</v>
      </c>
      <c r="P1623">
        <v>77.699999999999989</v>
      </c>
    </row>
    <row r="1624" spans="1:16" x14ac:dyDescent="0.3">
      <c r="A1624" s="1">
        <v>45962</v>
      </c>
      <c r="B1624" s="2" t="s">
        <v>56</v>
      </c>
      <c r="C1624" s="2" t="s">
        <v>57</v>
      </c>
      <c r="D1624" s="2" t="s">
        <v>50</v>
      </c>
      <c r="E1624" s="2" t="s">
        <v>42</v>
      </c>
      <c r="F1624" s="2" t="s">
        <v>43</v>
      </c>
      <c r="G1624" s="2" t="s">
        <v>160</v>
      </c>
      <c r="H1624">
        <v>1</v>
      </c>
      <c r="I1624">
        <v>3</v>
      </c>
      <c r="J1624">
        <v>619.04</v>
      </c>
      <c r="K1624">
        <v>0.05</v>
      </c>
      <c r="L1624">
        <v>395</v>
      </c>
      <c r="M1624">
        <v>1857.12</v>
      </c>
      <c r="N1624">
        <v>1764.2639999999999</v>
      </c>
      <c r="O1624">
        <v>1185</v>
      </c>
      <c r="P1624">
        <v>579.2639999999999</v>
      </c>
    </row>
    <row r="1625" spans="1:16" x14ac:dyDescent="0.3">
      <c r="A1625" s="1">
        <v>45962</v>
      </c>
      <c r="B1625" s="2" t="s">
        <v>39</v>
      </c>
      <c r="C1625" s="2" t="s">
        <v>88</v>
      </c>
      <c r="D1625" s="2" t="s">
        <v>46</v>
      </c>
      <c r="E1625" s="2" t="s">
        <v>51</v>
      </c>
      <c r="F1625" s="2" t="s">
        <v>52</v>
      </c>
      <c r="G1625" s="2" t="s">
        <v>154</v>
      </c>
      <c r="H1625">
        <v>1</v>
      </c>
      <c r="I1625">
        <v>6</v>
      </c>
      <c r="J1625">
        <v>185.1</v>
      </c>
      <c r="K1625">
        <v>0.1</v>
      </c>
      <c r="L1625">
        <v>124</v>
      </c>
      <c r="M1625">
        <v>1110.5999999999999</v>
      </c>
      <c r="N1625">
        <v>999.54</v>
      </c>
      <c r="O1625">
        <v>744</v>
      </c>
      <c r="P1625">
        <v>255.53999999999996</v>
      </c>
    </row>
    <row r="1626" spans="1:16" x14ac:dyDescent="0.3">
      <c r="A1626" s="1">
        <v>45962</v>
      </c>
      <c r="B1626" s="2" t="s">
        <v>39</v>
      </c>
      <c r="C1626" s="2" t="s">
        <v>54</v>
      </c>
      <c r="D1626" s="2" t="s">
        <v>41</v>
      </c>
      <c r="E1626" s="2" t="s">
        <v>42</v>
      </c>
      <c r="F1626" s="2" t="s">
        <v>48</v>
      </c>
      <c r="G1626" s="2" t="s">
        <v>168</v>
      </c>
      <c r="H1626">
        <v>1</v>
      </c>
      <c r="I1626">
        <v>1</v>
      </c>
      <c r="J1626">
        <v>92.66</v>
      </c>
      <c r="K1626">
        <v>0</v>
      </c>
      <c r="L1626">
        <v>39</v>
      </c>
      <c r="M1626">
        <v>92.66</v>
      </c>
      <c r="N1626">
        <v>92.66</v>
      </c>
      <c r="O1626">
        <v>39</v>
      </c>
      <c r="P1626">
        <v>53.66</v>
      </c>
    </row>
    <row r="1627" spans="1:16" x14ac:dyDescent="0.3">
      <c r="A1627" s="1">
        <v>45962</v>
      </c>
      <c r="B1627" s="2" t="s">
        <v>39</v>
      </c>
      <c r="C1627" s="2" t="s">
        <v>78</v>
      </c>
      <c r="D1627" s="2" t="s">
        <v>41</v>
      </c>
      <c r="E1627" s="2" t="s">
        <v>47</v>
      </c>
      <c r="F1627" s="2" t="s">
        <v>48</v>
      </c>
      <c r="G1627" s="2" t="s">
        <v>123</v>
      </c>
      <c r="H1627">
        <v>1</v>
      </c>
      <c r="I1627">
        <v>6</v>
      </c>
      <c r="J1627">
        <v>94</v>
      </c>
      <c r="K1627">
        <v>0</v>
      </c>
      <c r="L1627">
        <v>39</v>
      </c>
      <c r="M1627">
        <v>564</v>
      </c>
      <c r="N1627">
        <v>564</v>
      </c>
      <c r="O1627">
        <v>234</v>
      </c>
      <c r="P1627">
        <v>330</v>
      </c>
    </row>
    <row r="1628" spans="1:16" x14ac:dyDescent="0.3">
      <c r="A1628" s="1">
        <v>45962</v>
      </c>
      <c r="B1628" s="2" t="s">
        <v>39</v>
      </c>
      <c r="C1628" s="2" t="s">
        <v>78</v>
      </c>
      <c r="D1628" s="2" t="s">
        <v>41</v>
      </c>
      <c r="E1628" s="2" t="s">
        <v>47</v>
      </c>
      <c r="F1628" s="2" t="s">
        <v>52</v>
      </c>
      <c r="G1628" s="2" t="s">
        <v>123</v>
      </c>
      <c r="H1628">
        <v>1</v>
      </c>
      <c r="I1628">
        <v>4</v>
      </c>
      <c r="J1628">
        <v>44.67</v>
      </c>
      <c r="K1628">
        <v>0</v>
      </c>
      <c r="L1628">
        <v>18</v>
      </c>
      <c r="M1628">
        <v>178.68</v>
      </c>
      <c r="N1628">
        <v>178.68</v>
      </c>
      <c r="O1628">
        <v>72</v>
      </c>
      <c r="P1628">
        <v>106.68</v>
      </c>
    </row>
    <row r="1629" spans="1:16" x14ac:dyDescent="0.3">
      <c r="A1629" s="1">
        <v>45962</v>
      </c>
      <c r="B1629" s="2" t="s">
        <v>56</v>
      </c>
      <c r="C1629" s="2" t="s">
        <v>62</v>
      </c>
      <c r="D1629" s="2" t="s">
        <v>50</v>
      </c>
      <c r="E1629" s="2" t="s">
        <v>51</v>
      </c>
      <c r="F1629" s="2" t="s">
        <v>48</v>
      </c>
      <c r="G1629" s="2" t="s">
        <v>139</v>
      </c>
      <c r="H1629">
        <v>1</v>
      </c>
      <c r="I1629">
        <v>11</v>
      </c>
      <c r="J1629">
        <v>21.23</v>
      </c>
      <c r="K1629">
        <v>0.12</v>
      </c>
      <c r="L1629">
        <v>8</v>
      </c>
      <c r="M1629">
        <v>233.53</v>
      </c>
      <c r="N1629">
        <v>205.50640000000001</v>
      </c>
      <c r="O1629">
        <v>88</v>
      </c>
      <c r="P1629">
        <v>117.50640000000001</v>
      </c>
    </row>
    <row r="1630" spans="1:16" x14ac:dyDescent="0.3">
      <c r="A1630" s="1">
        <v>45962</v>
      </c>
      <c r="B1630" s="2" t="s">
        <v>39</v>
      </c>
      <c r="C1630" s="2" t="s">
        <v>40</v>
      </c>
      <c r="D1630" s="2" t="s">
        <v>50</v>
      </c>
      <c r="E1630" s="2" t="s">
        <v>42</v>
      </c>
      <c r="F1630" s="2" t="s">
        <v>48</v>
      </c>
      <c r="G1630" s="2" t="s">
        <v>214</v>
      </c>
      <c r="H1630">
        <v>1</v>
      </c>
      <c r="I1630">
        <v>2</v>
      </c>
      <c r="J1630">
        <v>24.28</v>
      </c>
      <c r="K1630">
        <v>0.08</v>
      </c>
      <c r="L1630">
        <v>8</v>
      </c>
      <c r="M1630">
        <v>48.56</v>
      </c>
      <c r="N1630">
        <v>44.675200000000004</v>
      </c>
      <c r="O1630">
        <v>16</v>
      </c>
      <c r="P1630">
        <v>28.675200000000004</v>
      </c>
    </row>
    <row r="1631" spans="1:16" x14ac:dyDescent="0.3">
      <c r="A1631" s="1">
        <v>45962</v>
      </c>
      <c r="B1631" s="2" t="s">
        <v>39</v>
      </c>
      <c r="C1631" s="2" t="s">
        <v>40</v>
      </c>
      <c r="D1631" s="2" t="s">
        <v>46</v>
      </c>
      <c r="E1631" s="2" t="s">
        <v>51</v>
      </c>
      <c r="F1631" s="2" t="s">
        <v>52</v>
      </c>
      <c r="G1631" s="2" t="s">
        <v>141</v>
      </c>
      <c r="H1631">
        <v>2</v>
      </c>
      <c r="I1631">
        <v>16</v>
      </c>
      <c r="J1631">
        <v>113.66499999999999</v>
      </c>
      <c r="K1631">
        <v>8.4999999999999992E-2</v>
      </c>
      <c r="L1631">
        <v>71</v>
      </c>
      <c r="M1631">
        <v>2261.65</v>
      </c>
      <c r="N1631">
        <v>2004.1924999999999</v>
      </c>
      <c r="O1631">
        <v>1454</v>
      </c>
      <c r="P1631">
        <v>550.1925</v>
      </c>
    </row>
    <row r="1632" spans="1:16" x14ac:dyDescent="0.3">
      <c r="A1632" s="1">
        <v>45962</v>
      </c>
      <c r="B1632" s="2" t="s">
        <v>39</v>
      </c>
      <c r="C1632" s="2" t="s">
        <v>40</v>
      </c>
      <c r="D1632" s="2" t="s">
        <v>46</v>
      </c>
      <c r="E1632" s="2" t="s">
        <v>51</v>
      </c>
      <c r="F1632" s="2" t="s">
        <v>43</v>
      </c>
      <c r="G1632" s="2" t="s">
        <v>141</v>
      </c>
      <c r="H1632">
        <v>1</v>
      </c>
      <c r="I1632">
        <v>7</v>
      </c>
      <c r="J1632">
        <v>259.54000000000002</v>
      </c>
      <c r="K1632">
        <v>0.15</v>
      </c>
      <c r="L1632">
        <v>182</v>
      </c>
      <c r="M1632">
        <v>1816.7800000000002</v>
      </c>
      <c r="N1632">
        <v>1544.2630000000001</v>
      </c>
      <c r="O1632">
        <v>1274</v>
      </c>
      <c r="P1632">
        <v>270.26300000000015</v>
      </c>
    </row>
    <row r="1633" spans="1:16" x14ac:dyDescent="0.3">
      <c r="A1633" s="1">
        <v>45962</v>
      </c>
      <c r="B1633" s="2" t="s">
        <v>56</v>
      </c>
      <c r="C1633" s="2" t="s">
        <v>72</v>
      </c>
      <c r="D1633" s="2" t="s">
        <v>50</v>
      </c>
      <c r="E1633" s="2" t="s">
        <v>47</v>
      </c>
      <c r="F1633" s="2" t="s">
        <v>48</v>
      </c>
      <c r="G1633" s="2" t="s">
        <v>221</v>
      </c>
      <c r="H1633">
        <v>1</v>
      </c>
      <c r="I1633">
        <v>2</v>
      </c>
      <c r="J1633">
        <v>73.06</v>
      </c>
      <c r="K1633">
        <v>0.05</v>
      </c>
      <c r="L1633">
        <v>31</v>
      </c>
      <c r="M1633">
        <v>146.12</v>
      </c>
      <c r="N1633">
        <v>138.81399999999999</v>
      </c>
      <c r="O1633">
        <v>62</v>
      </c>
      <c r="P1633">
        <v>76.813999999999993</v>
      </c>
    </row>
    <row r="1634" spans="1:16" x14ac:dyDescent="0.3">
      <c r="A1634" s="1">
        <v>45962</v>
      </c>
      <c r="B1634" s="2" t="s">
        <v>65</v>
      </c>
      <c r="C1634" s="2" t="s">
        <v>66</v>
      </c>
      <c r="D1634" s="2" t="s">
        <v>50</v>
      </c>
      <c r="E1634" s="2" t="s">
        <v>42</v>
      </c>
      <c r="F1634" s="2" t="s">
        <v>48</v>
      </c>
      <c r="G1634" s="2" t="s">
        <v>49</v>
      </c>
      <c r="H1634">
        <v>1</v>
      </c>
      <c r="I1634">
        <v>2</v>
      </c>
      <c r="J1634">
        <v>132.44</v>
      </c>
      <c r="K1634">
        <v>0</v>
      </c>
      <c r="L1634">
        <v>63</v>
      </c>
      <c r="M1634">
        <v>264.88</v>
      </c>
      <c r="N1634">
        <v>264.88</v>
      </c>
      <c r="O1634">
        <v>126</v>
      </c>
      <c r="P1634">
        <v>138.88</v>
      </c>
    </row>
    <row r="1635" spans="1:16" x14ac:dyDescent="0.3">
      <c r="A1635" s="1">
        <v>45962</v>
      </c>
      <c r="B1635" s="2" t="s">
        <v>39</v>
      </c>
      <c r="C1635" s="2" t="s">
        <v>92</v>
      </c>
      <c r="D1635" s="2" t="s">
        <v>41</v>
      </c>
      <c r="E1635" s="2" t="s">
        <v>42</v>
      </c>
      <c r="F1635" s="2" t="s">
        <v>43</v>
      </c>
      <c r="G1635" s="2" t="s">
        <v>187</v>
      </c>
      <c r="H1635">
        <v>1</v>
      </c>
      <c r="I1635">
        <v>3</v>
      </c>
      <c r="J1635">
        <v>612.17999999999995</v>
      </c>
      <c r="K1635">
        <v>0.05</v>
      </c>
      <c r="L1635">
        <v>395</v>
      </c>
      <c r="M1635">
        <v>1836.54</v>
      </c>
      <c r="N1635">
        <v>1744.713</v>
      </c>
      <c r="O1635">
        <v>1185</v>
      </c>
      <c r="P1635">
        <v>559.71299999999997</v>
      </c>
    </row>
    <row r="1636" spans="1:16" x14ac:dyDescent="0.3">
      <c r="A1636" s="1">
        <v>45962</v>
      </c>
      <c r="B1636" s="2" t="s">
        <v>75</v>
      </c>
      <c r="C1636" s="2" t="s">
        <v>106</v>
      </c>
      <c r="D1636" s="2" t="s">
        <v>41</v>
      </c>
      <c r="E1636" s="2" t="s">
        <v>51</v>
      </c>
      <c r="F1636" s="2" t="s">
        <v>43</v>
      </c>
      <c r="G1636" s="2" t="s">
        <v>155</v>
      </c>
      <c r="H1636">
        <v>1</v>
      </c>
      <c r="I1636">
        <v>6</v>
      </c>
      <c r="J1636">
        <v>162.36000000000001</v>
      </c>
      <c r="K1636">
        <v>0</v>
      </c>
      <c r="L1636">
        <v>86</v>
      </c>
      <c r="M1636">
        <v>974.16000000000008</v>
      </c>
      <c r="N1636">
        <v>974.16000000000008</v>
      </c>
      <c r="O1636">
        <v>516</v>
      </c>
      <c r="P1636">
        <v>458.16000000000008</v>
      </c>
    </row>
    <row r="1637" spans="1:16" x14ac:dyDescent="0.3">
      <c r="A1637" s="1">
        <v>45962</v>
      </c>
      <c r="B1637" s="2" t="s">
        <v>39</v>
      </c>
      <c r="C1637" s="2" t="s">
        <v>45</v>
      </c>
      <c r="D1637" s="2" t="s">
        <v>46</v>
      </c>
      <c r="E1637" s="2" t="s">
        <v>51</v>
      </c>
      <c r="F1637" s="2" t="s">
        <v>43</v>
      </c>
      <c r="G1637" s="2" t="s">
        <v>49</v>
      </c>
      <c r="H1637">
        <v>1</v>
      </c>
      <c r="I1637">
        <v>8</v>
      </c>
      <c r="J1637">
        <v>161.21</v>
      </c>
      <c r="K1637">
        <v>0.08</v>
      </c>
      <c r="L1637">
        <v>86</v>
      </c>
      <c r="M1637">
        <v>1289.68</v>
      </c>
      <c r="N1637">
        <v>1186.5056000000002</v>
      </c>
      <c r="O1637">
        <v>688</v>
      </c>
      <c r="P1637">
        <v>498.50560000000019</v>
      </c>
    </row>
    <row r="1638" spans="1:16" x14ac:dyDescent="0.3">
      <c r="A1638" s="1">
        <v>45962</v>
      </c>
      <c r="B1638" s="2" t="s">
        <v>75</v>
      </c>
      <c r="C1638" s="2" t="s">
        <v>76</v>
      </c>
      <c r="D1638" s="2" t="s">
        <v>46</v>
      </c>
      <c r="E1638" s="2" t="s">
        <v>42</v>
      </c>
      <c r="F1638" s="2" t="s">
        <v>48</v>
      </c>
      <c r="G1638" s="2" t="s">
        <v>77</v>
      </c>
      <c r="H1638">
        <v>1</v>
      </c>
      <c r="I1638">
        <v>2</v>
      </c>
      <c r="J1638">
        <v>23.7</v>
      </c>
      <c r="K1638">
        <v>0.08</v>
      </c>
      <c r="L1638">
        <v>8</v>
      </c>
      <c r="M1638">
        <v>47.4</v>
      </c>
      <c r="N1638">
        <v>43.608000000000004</v>
      </c>
      <c r="O1638">
        <v>16</v>
      </c>
      <c r="P1638">
        <v>27.608000000000004</v>
      </c>
    </row>
    <row r="1639" spans="1:16" x14ac:dyDescent="0.3">
      <c r="A1639" s="1">
        <v>45962</v>
      </c>
      <c r="B1639" s="2" t="s">
        <v>83</v>
      </c>
      <c r="C1639" s="2" t="s">
        <v>84</v>
      </c>
      <c r="D1639" s="2" t="s">
        <v>41</v>
      </c>
      <c r="E1639" s="2" t="s">
        <v>42</v>
      </c>
      <c r="F1639" s="2" t="s">
        <v>43</v>
      </c>
      <c r="G1639" s="2" t="s">
        <v>222</v>
      </c>
      <c r="H1639">
        <v>1</v>
      </c>
      <c r="I1639">
        <v>3</v>
      </c>
      <c r="J1639">
        <v>811.61</v>
      </c>
      <c r="K1639">
        <v>0</v>
      </c>
      <c r="L1639">
        <v>520</v>
      </c>
      <c r="M1639">
        <v>2434.83</v>
      </c>
      <c r="N1639">
        <v>2434.83</v>
      </c>
      <c r="O1639">
        <v>1560</v>
      </c>
      <c r="P1639">
        <v>874.82999999999993</v>
      </c>
    </row>
    <row r="1640" spans="1:16" x14ac:dyDescent="0.3">
      <c r="A1640" s="1">
        <v>45962</v>
      </c>
      <c r="B1640" s="2" t="s">
        <v>39</v>
      </c>
      <c r="C1640" s="2" t="s">
        <v>45</v>
      </c>
      <c r="D1640" s="2" t="s">
        <v>41</v>
      </c>
      <c r="E1640" s="2" t="s">
        <v>42</v>
      </c>
      <c r="F1640" s="2" t="s">
        <v>48</v>
      </c>
      <c r="G1640" s="2" t="s">
        <v>170</v>
      </c>
      <c r="H1640">
        <v>1</v>
      </c>
      <c r="I1640">
        <v>3</v>
      </c>
      <c r="J1640">
        <v>72.73</v>
      </c>
      <c r="K1640">
        <v>0.1</v>
      </c>
      <c r="L1640">
        <v>31</v>
      </c>
      <c r="M1640">
        <v>218.19</v>
      </c>
      <c r="N1640">
        <v>196.37100000000001</v>
      </c>
      <c r="O1640">
        <v>93</v>
      </c>
      <c r="P1640">
        <v>103.37100000000001</v>
      </c>
    </row>
    <row r="1641" spans="1:16" x14ac:dyDescent="0.3">
      <c r="A1641" s="1">
        <v>45962</v>
      </c>
      <c r="B1641" s="2" t="s">
        <v>39</v>
      </c>
      <c r="C1641" s="2" t="s">
        <v>78</v>
      </c>
      <c r="D1641" s="2" t="s">
        <v>50</v>
      </c>
      <c r="E1641" s="2" t="s">
        <v>47</v>
      </c>
      <c r="F1641" s="2" t="s">
        <v>48</v>
      </c>
      <c r="G1641" s="2" t="s">
        <v>163</v>
      </c>
      <c r="H1641">
        <v>1</v>
      </c>
      <c r="I1641">
        <v>4</v>
      </c>
      <c r="J1641">
        <v>24.42</v>
      </c>
      <c r="K1641">
        <v>0.05</v>
      </c>
      <c r="L1641">
        <v>8</v>
      </c>
      <c r="M1641">
        <v>97.68</v>
      </c>
      <c r="N1641">
        <v>92.796000000000006</v>
      </c>
      <c r="O1641">
        <v>32</v>
      </c>
      <c r="P1641">
        <v>60.796000000000006</v>
      </c>
    </row>
    <row r="1642" spans="1:16" x14ac:dyDescent="0.3">
      <c r="A1642" s="1">
        <v>45962</v>
      </c>
      <c r="B1642" s="2" t="s">
        <v>39</v>
      </c>
      <c r="C1642" s="2" t="s">
        <v>78</v>
      </c>
      <c r="D1642" s="2" t="s">
        <v>50</v>
      </c>
      <c r="E1642" s="2" t="s">
        <v>47</v>
      </c>
      <c r="F1642" s="2" t="s">
        <v>43</v>
      </c>
      <c r="G1642" s="2" t="s">
        <v>163</v>
      </c>
      <c r="H1642">
        <v>1</v>
      </c>
      <c r="I1642">
        <v>3</v>
      </c>
      <c r="J1642">
        <v>647.94000000000005</v>
      </c>
      <c r="K1642">
        <v>0.05</v>
      </c>
      <c r="L1642">
        <v>395</v>
      </c>
      <c r="M1642">
        <v>1943.8200000000002</v>
      </c>
      <c r="N1642">
        <v>1846.6290000000001</v>
      </c>
      <c r="O1642">
        <v>1185</v>
      </c>
      <c r="P1642">
        <v>661.62900000000013</v>
      </c>
    </row>
    <row r="1643" spans="1:16" x14ac:dyDescent="0.3">
      <c r="A1643" s="1">
        <v>45962</v>
      </c>
      <c r="B1643" s="2" t="s">
        <v>39</v>
      </c>
      <c r="C1643" s="2" t="s">
        <v>40</v>
      </c>
      <c r="D1643" s="2" t="s">
        <v>41</v>
      </c>
      <c r="E1643" s="2" t="s">
        <v>51</v>
      </c>
      <c r="F1643" s="2" t="s">
        <v>48</v>
      </c>
      <c r="G1643" s="2" t="s">
        <v>159</v>
      </c>
      <c r="H1643">
        <v>1</v>
      </c>
      <c r="I1643">
        <v>10</v>
      </c>
      <c r="J1643">
        <v>21.66</v>
      </c>
      <c r="K1643">
        <v>0.05</v>
      </c>
      <c r="L1643">
        <v>8</v>
      </c>
      <c r="M1643">
        <v>216.6</v>
      </c>
      <c r="N1643">
        <v>205.76999999999998</v>
      </c>
      <c r="O1643">
        <v>80</v>
      </c>
      <c r="P1643">
        <v>125.76999999999998</v>
      </c>
    </row>
    <row r="1644" spans="1:16" x14ac:dyDescent="0.3">
      <c r="A1644" s="1">
        <v>45962</v>
      </c>
      <c r="B1644" s="2" t="s">
        <v>39</v>
      </c>
      <c r="C1644" s="2" t="s">
        <v>40</v>
      </c>
      <c r="D1644" s="2" t="s">
        <v>41</v>
      </c>
      <c r="E1644" s="2" t="s">
        <v>51</v>
      </c>
      <c r="F1644" s="2" t="s">
        <v>48</v>
      </c>
      <c r="G1644" s="2" t="s">
        <v>189</v>
      </c>
      <c r="H1644">
        <v>1</v>
      </c>
      <c r="I1644">
        <v>21</v>
      </c>
      <c r="J1644">
        <v>88.34</v>
      </c>
      <c r="K1644">
        <v>0</v>
      </c>
      <c r="L1644">
        <v>39</v>
      </c>
      <c r="M1644">
        <v>1855.14</v>
      </c>
      <c r="N1644">
        <v>1855.14</v>
      </c>
      <c r="O1644">
        <v>819</v>
      </c>
      <c r="P1644">
        <v>1036.1400000000001</v>
      </c>
    </row>
    <row r="1645" spans="1:16" x14ac:dyDescent="0.3">
      <c r="A1645" s="1">
        <v>45962</v>
      </c>
      <c r="B1645" s="2" t="s">
        <v>39</v>
      </c>
      <c r="C1645" s="2" t="s">
        <v>40</v>
      </c>
      <c r="D1645" s="2" t="s">
        <v>41</v>
      </c>
      <c r="E1645" s="2" t="s">
        <v>51</v>
      </c>
      <c r="F1645" s="2" t="s">
        <v>43</v>
      </c>
      <c r="G1645" s="2" t="s">
        <v>189</v>
      </c>
      <c r="H1645">
        <v>1</v>
      </c>
      <c r="I1645">
        <v>4</v>
      </c>
      <c r="J1645">
        <v>262.89999999999998</v>
      </c>
      <c r="K1645">
        <v>0.05</v>
      </c>
      <c r="L1645">
        <v>182</v>
      </c>
      <c r="M1645">
        <v>1051.5999999999999</v>
      </c>
      <c r="N1645">
        <v>999.01999999999987</v>
      </c>
      <c r="O1645">
        <v>728</v>
      </c>
      <c r="P1645">
        <v>271.01999999999987</v>
      </c>
    </row>
    <row r="1646" spans="1:16" x14ac:dyDescent="0.3">
      <c r="A1646" s="1">
        <v>45962</v>
      </c>
      <c r="B1646" s="2" t="s">
        <v>56</v>
      </c>
      <c r="C1646" s="2" t="s">
        <v>57</v>
      </c>
      <c r="D1646" s="2" t="s">
        <v>41</v>
      </c>
      <c r="E1646" s="2" t="s">
        <v>42</v>
      </c>
      <c r="F1646" s="2" t="s">
        <v>48</v>
      </c>
      <c r="G1646" s="2" t="s">
        <v>86</v>
      </c>
      <c r="H1646">
        <v>1</v>
      </c>
      <c r="I1646">
        <v>4</v>
      </c>
      <c r="J1646">
        <v>24.35</v>
      </c>
      <c r="K1646">
        <v>0</v>
      </c>
      <c r="L1646">
        <v>8</v>
      </c>
      <c r="M1646">
        <v>97.4</v>
      </c>
      <c r="N1646">
        <v>97.4</v>
      </c>
      <c r="O1646">
        <v>32</v>
      </c>
      <c r="P1646">
        <v>65.400000000000006</v>
      </c>
    </row>
    <row r="1647" spans="1:16" x14ac:dyDescent="0.3">
      <c r="A1647" s="1">
        <v>45992</v>
      </c>
      <c r="B1647" s="2" t="s">
        <v>39</v>
      </c>
      <c r="C1647" s="2" t="s">
        <v>92</v>
      </c>
      <c r="D1647" s="2" t="s">
        <v>41</v>
      </c>
      <c r="E1647" s="2" t="s">
        <v>42</v>
      </c>
      <c r="F1647" s="2" t="s">
        <v>43</v>
      </c>
      <c r="G1647" s="2" t="s">
        <v>187</v>
      </c>
      <c r="H1647">
        <v>1</v>
      </c>
      <c r="I1647">
        <v>3</v>
      </c>
      <c r="J1647">
        <v>106.15</v>
      </c>
      <c r="K1647">
        <v>0</v>
      </c>
      <c r="L1647">
        <v>54</v>
      </c>
      <c r="M1647">
        <v>318.45000000000005</v>
      </c>
      <c r="N1647">
        <v>318.45000000000005</v>
      </c>
      <c r="O1647">
        <v>162</v>
      </c>
      <c r="P1647">
        <v>156.45000000000005</v>
      </c>
    </row>
    <row r="1648" spans="1:16" x14ac:dyDescent="0.3">
      <c r="A1648" s="1">
        <v>45992</v>
      </c>
      <c r="B1648" s="2" t="s">
        <v>39</v>
      </c>
      <c r="C1648" s="2" t="s">
        <v>92</v>
      </c>
      <c r="D1648" s="2" t="s">
        <v>50</v>
      </c>
      <c r="E1648" s="2" t="s">
        <v>42</v>
      </c>
      <c r="F1648" s="2" t="s">
        <v>48</v>
      </c>
      <c r="G1648" s="2" t="s">
        <v>110</v>
      </c>
      <c r="H1648">
        <v>1</v>
      </c>
      <c r="I1648">
        <v>3</v>
      </c>
      <c r="J1648">
        <v>73.17</v>
      </c>
      <c r="K1648">
        <v>0.05</v>
      </c>
      <c r="L1648">
        <v>31</v>
      </c>
      <c r="M1648">
        <v>219.51</v>
      </c>
      <c r="N1648">
        <v>208.53449999999998</v>
      </c>
      <c r="O1648">
        <v>93</v>
      </c>
      <c r="P1648">
        <v>115.53449999999998</v>
      </c>
    </row>
    <row r="1649" spans="1:16" x14ac:dyDescent="0.3">
      <c r="A1649" s="1">
        <v>45992</v>
      </c>
      <c r="B1649" s="2" t="s">
        <v>39</v>
      </c>
      <c r="C1649" s="2" t="s">
        <v>40</v>
      </c>
      <c r="D1649" s="2" t="s">
        <v>41</v>
      </c>
      <c r="E1649" s="2" t="s">
        <v>42</v>
      </c>
      <c r="F1649" s="2" t="s">
        <v>48</v>
      </c>
      <c r="G1649" s="2" t="s">
        <v>144</v>
      </c>
      <c r="H1649">
        <v>1</v>
      </c>
      <c r="I1649">
        <v>4</v>
      </c>
      <c r="J1649">
        <v>95.96</v>
      </c>
      <c r="K1649">
        <v>0</v>
      </c>
      <c r="L1649">
        <v>39</v>
      </c>
      <c r="M1649">
        <v>383.84</v>
      </c>
      <c r="N1649">
        <v>383.84</v>
      </c>
      <c r="O1649">
        <v>156</v>
      </c>
      <c r="P1649">
        <v>227.83999999999997</v>
      </c>
    </row>
    <row r="1650" spans="1:16" x14ac:dyDescent="0.3">
      <c r="A1650" s="1">
        <v>45992</v>
      </c>
      <c r="B1650" s="2" t="s">
        <v>65</v>
      </c>
      <c r="C1650" s="2" t="s">
        <v>66</v>
      </c>
      <c r="D1650" s="2" t="s">
        <v>50</v>
      </c>
      <c r="E1650" s="2" t="s">
        <v>42</v>
      </c>
      <c r="F1650" s="2" t="s">
        <v>52</v>
      </c>
      <c r="G1650" s="2" t="s">
        <v>74</v>
      </c>
      <c r="H1650">
        <v>1</v>
      </c>
      <c r="I1650">
        <v>3</v>
      </c>
      <c r="J1650">
        <v>213.6</v>
      </c>
      <c r="K1650">
        <v>0.05</v>
      </c>
      <c r="L1650">
        <v>124</v>
      </c>
      <c r="M1650">
        <v>640.79999999999995</v>
      </c>
      <c r="N1650">
        <v>608.75999999999988</v>
      </c>
      <c r="O1650">
        <v>372</v>
      </c>
      <c r="P1650">
        <v>236.75999999999988</v>
      </c>
    </row>
    <row r="1651" spans="1:16" x14ac:dyDescent="0.3">
      <c r="A1651" s="1">
        <v>45992</v>
      </c>
      <c r="B1651" s="2" t="s">
        <v>65</v>
      </c>
      <c r="C1651" s="2" t="s">
        <v>66</v>
      </c>
      <c r="D1651" s="2" t="s">
        <v>50</v>
      </c>
      <c r="E1651" s="2" t="s">
        <v>42</v>
      </c>
      <c r="F1651" s="2" t="s">
        <v>48</v>
      </c>
      <c r="G1651" s="2" t="s">
        <v>74</v>
      </c>
      <c r="H1651">
        <v>1</v>
      </c>
      <c r="I1651">
        <v>1</v>
      </c>
      <c r="J1651">
        <v>71.64</v>
      </c>
      <c r="K1651">
        <v>0.05</v>
      </c>
      <c r="L1651">
        <v>31</v>
      </c>
      <c r="M1651">
        <v>71.64</v>
      </c>
      <c r="N1651">
        <v>68.057999999999993</v>
      </c>
      <c r="O1651">
        <v>31</v>
      </c>
      <c r="P1651">
        <v>37.057999999999993</v>
      </c>
    </row>
    <row r="1652" spans="1:16" x14ac:dyDescent="0.3">
      <c r="A1652" s="1">
        <v>45992</v>
      </c>
      <c r="B1652" s="2" t="s">
        <v>56</v>
      </c>
      <c r="C1652" s="2" t="s">
        <v>62</v>
      </c>
      <c r="D1652" s="2" t="s">
        <v>41</v>
      </c>
      <c r="E1652" s="2" t="s">
        <v>47</v>
      </c>
      <c r="F1652" s="2" t="s">
        <v>48</v>
      </c>
      <c r="G1652" s="2" t="s">
        <v>143</v>
      </c>
      <c r="H1652">
        <v>1</v>
      </c>
      <c r="I1652">
        <v>1</v>
      </c>
      <c r="J1652">
        <v>98.24</v>
      </c>
      <c r="K1652">
        <v>0</v>
      </c>
      <c r="L1652">
        <v>39</v>
      </c>
      <c r="M1652">
        <v>98.24</v>
      </c>
      <c r="N1652">
        <v>98.24</v>
      </c>
      <c r="O1652">
        <v>39</v>
      </c>
      <c r="P1652">
        <v>59.239999999999995</v>
      </c>
    </row>
    <row r="1653" spans="1:16" x14ac:dyDescent="0.3">
      <c r="A1653" s="1">
        <v>45992</v>
      </c>
      <c r="B1653" s="2" t="s">
        <v>56</v>
      </c>
      <c r="C1653" s="2" t="s">
        <v>62</v>
      </c>
      <c r="D1653" s="2" t="s">
        <v>41</v>
      </c>
      <c r="E1653" s="2" t="s">
        <v>47</v>
      </c>
      <c r="F1653" s="2" t="s">
        <v>52</v>
      </c>
      <c r="G1653" s="2" t="s">
        <v>143</v>
      </c>
      <c r="H1653">
        <v>1</v>
      </c>
      <c r="I1653">
        <v>1</v>
      </c>
      <c r="J1653">
        <v>43.19</v>
      </c>
      <c r="K1653">
        <v>0</v>
      </c>
      <c r="L1653">
        <v>18</v>
      </c>
      <c r="M1653">
        <v>43.19</v>
      </c>
      <c r="N1653">
        <v>43.19</v>
      </c>
      <c r="O1653">
        <v>18</v>
      </c>
      <c r="P1653">
        <v>25.189999999999998</v>
      </c>
    </row>
    <row r="1654" spans="1:16" x14ac:dyDescent="0.3">
      <c r="A1654" s="1">
        <v>45992</v>
      </c>
      <c r="B1654" s="2" t="s">
        <v>39</v>
      </c>
      <c r="C1654" s="2" t="s">
        <v>88</v>
      </c>
      <c r="D1654" s="2" t="s">
        <v>41</v>
      </c>
      <c r="E1654" s="2" t="s">
        <v>42</v>
      </c>
      <c r="F1654" s="2" t="s">
        <v>52</v>
      </c>
      <c r="G1654" s="2" t="s">
        <v>224</v>
      </c>
      <c r="H1654">
        <v>3</v>
      </c>
      <c r="I1654">
        <v>9</v>
      </c>
      <c r="J1654">
        <v>156.41</v>
      </c>
      <c r="K1654">
        <v>0</v>
      </c>
      <c r="L1654">
        <v>88.666666666666657</v>
      </c>
      <c r="M1654">
        <v>1407.6899999999998</v>
      </c>
      <c r="N1654">
        <v>1407.6899999999998</v>
      </c>
      <c r="O1654">
        <v>798</v>
      </c>
      <c r="P1654">
        <v>609.69000000000005</v>
      </c>
    </row>
    <row r="1655" spans="1:16" x14ac:dyDescent="0.3">
      <c r="A1655" s="1">
        <v>45992</v>
      </c>
      <c r="B1655" s="2" t="s">
        <v>39</v>
      </c>
      <c r="C1655" s="2" t="s">
        <v>40</v>
      </c>
      <c r="D1655" s="2" t="s">
        <v>41</v>
      </c>
      <c r="E1655" s="2" t="s">
        <v>51</v>
      </c>
      <c r="F1655" s="2" t="s">
        <v>48</v>
      </c>
      <c r="G1655" s="2" t="s">
        <v>159</v>
      </c>
      <c r="H1655">
        <v>2</v>
      </c>
      <c r="I1655">
        <v>21</v>
      </c>
      <c r="J1655">
        <v>75.110000000000014</v>
      </c>
      <c r="K1655">
        <v>0</v>
      </c>
      <c r="L1655">
        <v>35.5</v>
      </c>
      <c r="M1655">
        <v>1523.8100000000002</v>
      </c>
      <c r="N1655">
        <v>1523.8100000000002</v>
      </c>
      <c r="O1655">
        <v>718</v>
      </c>
      <c r="P1655">
        <v>805.81000000000017</v>
      </c>
    </row>
    <row r="1656" spans="1:16" x14ac:dyDescent="0.3">
      <c r="A1656" s="1">
        <v>45992</v>
      </c>
      <c r="B1656" s="2" t="s">
        <v>197</v>
      </c>
      <c r="C1656" s="2" t="s">
        <v>40</v>
      </c>
      <c r="D1656" s="2" t="s">
        <v>50</v>
      </c>
      <c r="E1656" s="2" t="s">
        <v>51</v>
      </c>
      <c r="F1656" s="2" t="s">
        <v>52</v>
      </c>
      <c r="G1656" s="2" t="s">
        <v>198</v>
      </c>
      <c r="H1656">
        <v>1</v>
      </c>
      <c r="I1656">
        <v>4</v>
      </c>
      <c r="J1656">
        <v>38.6</v>
      </c>
      <c r="K1656">
        <v>0.12</v>
      </c>
      <c r="L1656">
        <v>18</v>
      </c>
      <c r="M1656">
        <v>154.4</v>
      </c>
      <c r="N1656">
        <v>135.87200000000001</v>
      </c>
      <c r="O1656">
        <v>72</v>
      </c>
      <c r="P1656">
        <v>63.872000000000014</v>
      </c>
    </row>
    <row r="1657" spans="1:16" x14ac:dyDescent="0.3">
      <c r="A1657" s="1">
        <v>45992</v>
      </c>
      <c r="B1657" s="2" t="s">
        <v>197</v>
      </c>
      <c r="C1657" s="2" t="s">
        <v>40</v>
      </c>
      <c r="D1657" s="2" t="s">
        <v>50</v>
      </c>
      <c r="E1657" s="2" t="s">
        <v>51</v>
      </c>
      <c r="F1657" s="2" t="s">
        <v>43</v>
      </c>
      <c r="G1657" s="2" t="s">
        <v>198</v>
      </c>
      <c r="H1657">
        <v>2</v>
      </c>
      <c r="I1657">
        <v>16</v>
      </c>
      <c r="J1657">
        <v>210.32500000000002</v>
      </c>
      <c r="K1657">
        <v>0.04</v>
      </c>
      <c r="L1657">
        <v>134</v>
      </c>
      <c r="M1657">
        <v>3571.0600000000004</v>
      </c>
      <c r="N1657">
        <v>3494.8072000000002</v>
      </c>
      <c r="O1657">
        <v>2336</v>
      </c>
      <c r="P1657">
        <v>1158.8072000000002</v>
      </c>
    </row>
    <row r="1658" spans="1:16" x14ac:dyDescent="0.3">
      <c r="A1658" s="1">
        <v>45992</v>
      </c>
      <c r="B1658" s="2" t="s">
        <v>75</v>
      </c>
      <c r="C1658" s="2" t="s">
        <v>76</v>
      </c>
      <c r="D1658" s="2" t="s">
        <v>50</v>
      </c>
      <c r="E1658" s="2" t="s">
        <v>42</v>
      </c>
      <c r="F1658" s="2" t="s">
        <v>43</v>
      </c>
      <c r="G1658" s="2" t="s">
        <v>216</v>
      </c>
      <c r="H1658">
        <v>1</v>
      </c>
      <c r="I1658">
        <v>1</v>
      </c>
      <c r="J1658">
        <v>1148.8699999999999</v>
      </c>
      <c r="K1658">
        <v>0.08</v>
      </c>
      <c r="L1658">
        <v>760</v>
      </c>
      <c r="M1658">
        <v>1148.8699999999999</v>
      </c>
      <c r="N1658">
        <v>1056.9603999999999</v>
      </c>
      <c r="O1658">
        <v>760</v>
      </c>
      <c r="P1658">
        <v>296.96039999999994</v>
      </c>
    </row>
    <row r="1659" spans="1:16" x14ac:dyDescent="0.3">
      <c r="A1659" s="1">
        <v>45992</v>
      </c>
      <c r="B1659" s="2" t="s">
        <v>39</v>
      </c>
      <c r="C1659" s="2" t="s">
        <v>45</v>
      </c>
      <c r="D1659" s="2" t="s">
        <v>46</v>
      </c>
      <c r="E1659" s="2" t="s">
        <v>42</v>
      </c>
      <c r="F1659" s="2" t="s">
        <v>52</v>
      </c>
      <c r="G1659" s="2" t="s">
        <v>188</v>
      </c>
      <c r="H1659">
        <v>1</v>
      </c>
      <c r="I1659">
        <v>1</v>
      </c>
      <c r="J1659">
        <v>41.82</v>
      </c>
      <c r="K1659">
        <v>0.12</v>
      </c>
      <c r="L1659">
        <v>1</v>
      </c>
      <c r="M1659">
        <v>41.82</v>
      </c>
      <c r="N1659">
        <v>36.801600000000001</v>
      </c>
      <c r="O1659">
        <v>1</v>
      </c>
      <c r="P1659">
        <v>35.801600000000001</v>
      </c>
    </row>
    <row r="1660" spans="1:16" x14ac:dyDescent="0.3">
      <c r="A1660" s="1">
        <v>45992</v>
      </c>
      <c r="B1660" s="2" t="s">
        <v>83</v>
      </c>
      <c r="C1660" s="2" t="s">
        <v>84</v>
      </c>
      <c r="D1660" s="2" t="s">
        <v>41</v>
      </c>
      <c r="E1660" s="2" t="s">
        <v>42</v>
      </c>
      <c r="F1660" s="2" t="s">
        <v>43</v>
      </c>
      <c r="G1660" s="2" t="s">
        <v>222</v>
      </c>
      <c r="H1660">
        <v>2</v>
      </c>
      <c r="I1660">
        <v>5</v>
      </c>
      <c r="J1660">
        <v>891.02</v>
      </c>
      <c r="K1660">
        <v>0</v>
      </c>
      <c r="L1660">
        <v>577.5</v>
      </c>
      <c r="M1660">
        <v>4166.1000000000004</v>
      </c>
      <c r="N1660">
        <v>4166.1000000000004</v>
      </c>
      <c r="O1660">
        <v>2705</v>
      </c>
      <c r="P1660">
        <v>1461.1</v>
      </c>
    </row>
    <row r="1661" spans="1:16" x14ac:dyDescent="0.3">
      <c r="A1661" s="1">
        <v>45992</v>
      </c>
      <c r="B1661" s="2" t="s">
        <v>56</v>
      </c>
      <c r="C1661" s="2" t="s">
        <v>57</v>
      </c>
      <c r="D1661" s="2" t="s">
        <v>50</v>
      </c>
      <c r="E1661" s="2" t="s">
        <v>51</v>
      </c>
      <c r="F1661" s="2" t="s">
        <v>43</v>
      </c>
      <c r="G1661" s="2" t="s">
        <v>212</v>
      </c>
      <c r="H1661">
        <v>2</v>
      </c>
      <c r="I1661">
        <v>17</v>
      </c>
      <c r="J1661">
        <v>275.5</v>
      </c>
      <c r="K1661">
        <v>0.11</v>
      </c>
      <c r="L1661">
        <v>182</v>
      </c>
      <c r="M1661">
        <v>4688.18</v>
      </c>
      <c r="N1661">
        <v>4163.95</v>
      </c>
      <c r="O1661">
        <v>3094</v>
      </c>
      <c r="P1661">
        <v>1069.95</v>
      </c>
    </row>
    <row r="1662" spans="1:16" x14ac:dyDescent="0.3">
      <c r="A1662" s="1">
        <v>45992</v>
      </c>
      <c r="B1662" s="2" t="s">
        <v>56</v>
      </c>
      <c r="C1662" s="2" t="s">
        <v>57</v>
      </c>
      <c r="D1662" s="2" t="s">
        <v>50</v>
      </c>
      <c r="E1662" s="2" t="s">
        <v>51</v>
      </c>
      <c r="F1662" s="2" t="s">
        <v>52</v>
      </c>
      <c r="G1662" s="2" t="s">
        <v>212</v>
      </c>
      <c r="H1662">
        <v>1</v>
      </c>
      <c r="I1662">
        <v>5</v>
      </c>
      <c r="J1662">
        <v>39.69</v>
      </c>
      <c r="K1662">
        <v>0.08</v>
      </c>
      <c r="L1662">
        <v>18</v>
      </c>
      <c r="M1662">
        <v>198.45</v>
      </c>
      <c r="N1662">
        <v>182.57399999999998</v>
      </c>
      <c r="O1662">
        <v>90</v>
      </c>
      <c r="P1662">
        <v>92.573999999999984</v>
      </c>
    </row>
    <row r="1663" spans="1:16" x14ac:dyDescent="0.3">
      <c r="A1663" s="1">
        <v>45992</v>
      </c>
      <c r="B1663" s="2" t="s">
        <v>56</v>
      </c>
      <c r="C1663" s="2" t="s">
        <v>72</v>
      </c>
      <c r="D1663" s="2" t="s">
        <v>41</v>
      </c>
      <c r="E1663" s="2" t="s">
        <v>51</v>
      </c>
      <c r="F1663" s="2" t="s">
        <v>43</v>
      </c>
      <c r="G1663" s="2" t="s">
        <v>175</v>
      </c>
      <c r="H1663">
        <v>1</v>
      </c>
      <c r="I1663">
        <v>7</v>
      </c>
      <c r="J1663">
        <v>257.54000000000002</v>
      </c>
      <c r="K1663">
        <v>0</v>
      </c>
      <c r="L1663">
        <v>182</v>
      </c>
      <c r="M1663">
        <v>1802.7800000000002</v>
      </c>
      <c r="N1663">
        <v>1802.7800000000002</v>
      </c>
      <c r="O1663">
        <v>1274</v>
      </c>
      <c r="P1663">
        <v>528.7800000000002</v>
      </c>
    </row>
    <row r="1664" spans="1:16" x14ac:dyDescent="0.3">
      <c r="A1664" s="1">
        <v>45992</v>
      </c>
      <c r="B1664" s="2" t="s">
        <v>83</v>
      </c>
      <c r="C1664" s="2" t="s">
        <v>84</v>
      </c>
      <c r="D1664" s="2" t="s">
        <v>41</v>
      </c>
      <c r="E1664" s="2" t="s">
        <v>42</v>
      </c>
      <c r="F1664" s="2" t="s">
        <v>43</v>
      </c>
      <c r="G1664" s="2" t="s">
        <v>202</v>
      </c>
      <c r="H1664">
        <v>2</v>
      </c>
      <c r="I1664">
        <v>3</v>
      </c>
      <c r="J1664">
        <v>750.21</v>
      </c>
      <c r="K1664">
        <v>0</v>
      </c>
      <c r="L1664">
        <v>471</v>
      </c>
      <c r="M1664">
        <v>2697.69</v>
      </c>
      <c r="N1664">
        <v>2697.69</v>
      </c>
      <c r="O1664">
        <v>1702</v>
      </c>
      <c r="P1664">
        <v>995.68999999999994</v>
      </c>
    </row>
    <row r="1665" spans="1:16" x14ac:dyDescent="0.3">
      <c r="A1665" s="1">
        <v>45992</v>
      </c>
      <c r="B1665" s="2" t="s">
        <v>83</v>
      </c>
      <c r="C1665" s="2" t="s">
        <v>84</v>
      </c>
      <c r="D1665" s="2" t="s">
        <v>46</v>
      </c>
      <c r="E1665" s="2" t="s">
        <v>42</v>
      </c>
      <c r="F1665" s="2" t="s">
        <v>43</v>
      </c>
      <c r="G1665" s="2" t="s">
        <v>128</v>
      </c>
      <c r="H1665">
        <v>1</v>
      </c>
      <c r="I1665">
        <v>3</v>
      </c>
      <c r="J1665">
        <v>848.52</v>
      </c>
      <c r="K1665">
        <v>0.15</v>
      </c>
      <c r="L1665">
        <v>520</v>
      </c>
      <c r="M1665">
        <v>2545.56</v>
      </c>
      <c r="N1665">
        <v>2163.7260000000001</v>
      </c>
      <c r="O1665">
        <v>1560</v>
      </c>
      <c r="P1665">
        <v>603.72600000000011</v>
      </c>
    </row>
    <row r="1666" spans="1:16" x14ac:dyDescent="0.3">
      <c r="A1666" s="1">
        <v>45992</v>
      </c>
      <c r="B1666" s="2" t="s">
        <v>39</v>
      </c>
      <c r="C1666" s="2" t="s">
        <v>78</v>
      </c>
      <c r="D1666" s="2" t="s">
        <v>50</v>
      </c>
      <c r="E1666" s="2" t="s">
        <v>47</v>
      </c>
      <c r="F1666" s="2" t="s">
        <v>43</v>
      </c>
      <c r="G1666" s="2" t="s">
        <v>163</v>
      </c>
      <c r="H1666">
        <v>1</v>
      </c>
      <c r="I1666">
        <v>4</v>
      </c>
      <c r="J1666">
        <v>857.16</v>
      </c>
      <c r="K1666">
        <v>0.05</v>
      </c>
      <c r="L1666">
        <v>520</v>
      </c>
      <c r="M1666">
        <v>3428.64</v>
      </c>
      <c r="N1666">
        <v>3257.2079999999996</v>
      </c>
      <c r="O1666">
        <v>2080</v>
      </c>
      <c r="P1666">
        <v>1177.2079999999996</v>
      </c>
    </row>
    <row r="1667" spans="1:16" x14ac:dyDescent="0.3">
      <c r="A1667" s="1">
        <v>45992</v>
      </c>
      <c r="B1667" s="2" t="s">
        <v>39</v>
      </c>
      <c r="C1667" s="2" t="s">
        <v>78</v>
      </c>
      <c r="D1667" s="2" t="s">
        <v>50</v>
      </c>
      <c r="E1667" s="2" t="s">
        <v>47</v>
      </c>
      <c r="F1667" s="2" t="s">
        <v>52</v>
      </c>
      <c r="G1667" s="2" t="s">
        <v>163</v>
      </c>
      <c r="H1667">
        <v>2</v>
      </c>
      <c r="I1667">
        <v>4</v>
      </c>
      <c r="J1667">
        <v>44.94</v>
      </c>
      <c r="K1667">
        <v>0.08</v>
      </c>
      <c r="L1667">
        <v>18</v>
      </c>
      <c r="M1667">
        <v>179.76</v>
      </c>
      <c r="N1667">
        <v>165.37920000000003</v>
      </c>
      <c r="O1667">
        <v>72</v>
      </c>
      <c r="P1667">
        <v>93.379200000000012</v>
      </c>
    </row>
    <row r="1668" spans="1:16" x14ac:dyDescent="0.3">
      <c r="A1668" s="1">
        <v>45992</v>
      </c>
      <c r="B1668" s="2" t="s">
        <v>39</v>
      </c>
      <c r="C1668" s="2" t="s">
        <v>92</v>
      </c>
      <c r="D1668" s="2" t="s">
        <v>41</v>
      </c>
      <c r="E1668" s="2" t="s">
        <v>42</v>
      </c>
      <c r="F1668" s="2" t="s">
        <v>48</v>
      </c>
      <c r="G1668" s="2" t="s">
        <v>196</v>
      </c>
      <c r="H1668">
        <v>2</v>
      </c>
      <c r="I1668">
        <v>5</v>
      </c>
      <c r="J1668">
        <v>103.855</v>
      </c>
      <c r="K1668">
        <v>0</v>
      </c>
      <c r="L1668">
        <v>47</v>
      </c>
      <c r="M1668">
        <v>553.35</v>
      </c>
      <c r="N1668">
        <v>553.35</v>
      </c>
      <c r="O1668">
        <v>251</v>
      </c>
      <c r="P1668">
        <v>302.35000000000002</v>
      </c>
    </row>
    <row r="1669" spans="1:16" x14ac:dyDescent="0.3">
      <c r="A1669" s="1">
        <v>45992</v>
      </c>
      <c r="B1669" s="2" t="s">
        <v>39</v>
      </c>
      <c r="C1669" s="2" t="s">
        <v>92</v>
      </c>
      <c r="D1669" s="2" t="s">
        <v>41</v>
      </c>
      <c r="E1669" s="2" t="s">
        <v>42</v>
      </c>
      <c r="F1669" s="2" t="s">
        <v>43</v>
      </c>
      <c r="G1669" s="2" t="s">
        <v>196</v>
      </c>
      <c r="H1669">
        <v>4</v>
      </c>
      <c r="I1669">
        <v>8</v>
      </c>
      <c r="J1669">
        <v>544.65499999999997</v>
      </c>
      <c r="K1669">
        <v>0.05</v>
      </c>
      <c r="L1669">
        <v>341</v>
      </c>
      <c r="M1669">
        <v>4883.46</v>
      </c>
      <c r="N1669">
        <v>4626.3874999999998</v>
      </c>
      <c r="O1669">
        <v>3069</v>
      </c>
      <c r="P1669">
        <v>1557.3874999999998</v>
      </c>
    </row>
    <row r="1670" spans="1:16" x14ac:dyDescent="0.3">
      <c r="A1670" s="1">
        <v>45992</v>
      </c>
      <c r="B1670" s="2" t="s">
        <v>65</v>
      </c>
      <c r="C1670" s="2" t="s">
        <v>66</v>
      </c>
      <c r="D1670" s="2" t="s">
        <v>41</v>
      </c>
      <c r="E1670" s="2" t="s">
        <v>42</v>
      </c>
      <c r="F1670" s="2" t="s">
        <v>43</v>
      </c>
      <c r="G1670" s="2" t="s">
        <v>68</v>
      </c>
      <c r="H1670">
        <v>1</v>
      </c>
      <c r="I1670">
        <v>3</v>
      </c>
      <c r="J1670">
        <v>283.14999999999998</v>
      </c>
      <c r="K1670">
        <v>0</v>
      </c>
      <c r="L1670">
        <v>182</v>
      </c>
      <c r="M1670">
        <v>849.44999999999993</v>
      </c>
      <c r="N1670">
        <v>849.44999999999993</v>
      </c>
      <c r="O1670">
        <v>546</v>
      </c>
      <c r="P1670">
        <v>303.44999999999993</v>
      </c>
    </row>
    <row r="1671" spans="1:16" x14ac:dyDescent="0.3">
      <c r="A1671" s="1">
        <v>45992</v>
      </c>
      <c r="B1671" s="2" t="s">
        <v>65</v>
      </c>
      <c r="C1671" s="2" t="s">
        <v>66</v>
      </c>
      <c r="D1671" s="2" t="s">
        <v>41</v>
      </c>
      <c r="E1671" s="2" t="s">
        <v>42</v>
      </c>
      <c r="F1671" s="2" t="s">
        <v>52</v>
      </c>
      <c r="G1671" s="2" t="s">
        <v>68</v>
      </c>
      <c r="H1671">
        <v>1</v>
      </c>
      <c r="I1671">
        <v>1</v>
      </c>
      <c r="J1671">
        <v>41.85</v>
      </c>
      <c r="K1671">
        <v>0</v>
      </c>
      <c r="L1671">
        <v>18</v>
      </c>
      <c r="M1671">
        <v>41.85</v>
      </c>
      <c r="N1671">
        <v>41.85</v>
      </c>
      <c r="O1671">
        <v>18</v>
      </c>
      <c r="P1671">
        <v>23.85</v>
      </c>
    </row>
    <row r="1672" spans="1:16" x14ac:dyDescent="0.3">
      <c r="A1672" s="1">
        <v>45992</v>
      </c>
      <c r="B1672" s="2" t="s">
        <v>39</v>
      </c>
      <c r="C1672" s="2" t="s">
        <v>40</v>
      </c>
      <c r="D1672" s="2" t="s">
        <v>46</v>
      </c>
      <c r="E1672" s="2" t="s">
        <v>42</v>
      </c>
      <c r="F1672" s="2" t="s">
        <v>48</v>
      </c>
      <c r="G1672" s="2" t="s">
        <v>141</v>
      </c>
      <c r="H1672">
        <v>1</v>
      </c>
      <c r="I1672">
        <v>4</v>
      </c>
      <c r="J1672">
        <v>71.17</v>
      </c>
      <c r="K1672">
        <v>0.08</v>
      </c>
      <c r="L1672">
        <v>31</v>
      </c>
      <c r="M1672">
        <v>284.68</v>
      </c>
      <c r="N1672">
        <v>261.90559999999999</v>
      </c>
      <c r="O1672">
        <v>124</v>
      </c>
      <c r="P1672">
        <v>137.90559999999999</v>
      </c>
    </row>
    <row r="1673" spans="1:16" x14ac:dyDescent="0.3">
      <c r="A1673" s="1">
        <v>45992</v>
      </c>
      <c r="B1673" s="2" t="s">
        <v>65</v>
      </c>
      <c r="C1673" s="2" t="s">
        <v>134</v>
      </c>
      <c r="D1673" s="2" t="s">
        <v>41</v>
      </c>
      <c r="E1673" s="2" t="s">
        <v>47</v>
      </c>
      <c r="F1673" s="2" t="s">
        <v>43</v>
      </c>
      <c r="G1673" s="2" t="s">
        <v>135</v>
      </c>
      <c r="H1673">
        <v>2</v>
      </c>
      <c r="I1673">
        <v>4</v>
      </c>
      <c r="J1673">
        <v>737.32500000000005</v>
      </c>
      <c r="K1673">
        <v>0</v>
      </c>
      <c r="L1673">
        <v>457.5</v>
      </c>
      <c r="M1673">
        <v>2949.3</v>
      </c>
      <c r="N1673">
        <v>2949.3</v>
      </c>
      <c r="O1673">
        <v>1830</v>
      </c>
      <c r="P1673">
        <v>1119.3</v>
      </c>
    </row>
    <row r="1674" spans="1:16" x14ac:dyDescent="0.3">
      <c r="A1674" s="1">
        <v>45992</v>
      </c>
      <c r="B1674" s="2" t="s">
        <v>39</v>
      </c>
      <c r="C1674" s="2" t="s">
        <v>88</v>
      </c>
      <c r="D1674" s="2" t="s">
        <v>41</v>
      </c>
      <c r="E1674" s="2" t="s">
        <v>42</v>
      </c>
      <c r="F1674" s="2" t="s">
        <v>43</v>
      </c>
      <c r="G1674" s="2" t="s">
        <v>224</v>
      </c>
      <c r="H1674">
        <v>2</v>
      </c>
      <c r="I1674">
        <v>4</v>
      </c>
      <c r="J1674">
        <v>889.755</v>
      </c>
      <c r="K1674">
        <v>2.5000000000000001E-2</v>
      </c>
      <c r="L1674">
        <v>577.5</v>
      </c>
      <c r="M1674">
        <v>3016.59</v>
      </c>
      <c r="N1674">
        <v>2923.8089999999997</v>
      </c>
      <c r="O1674">
        <v>1945</v>
      </c>
      <c r="P1674">
        <v>978.80899999999974</v>
      </c>
    </row>
    <row r="1675" spans="1:16" x14ac:dyDescent="0.3">
      <c r="A1675" s="1">
        <v>45992</v>
      </c>
      <c r="B1675" s="2" t="s">
        <v>39</v>
      </c>
      <c r="C1675" s="2" t="s">
        <v>92</v>
      </c>
      <c r="D1675" s="2" t="s">
        <v>41</v>
      </c>
      <c r="E1675" s="2" t="s">
        <v>51</v>
      </c>
      <c r="F1675" s="2" t="s">
        <v>52</v>
      </c>
      <c r="G1675" s="2" t="s">
        <v>111</v>
      </c>
      <c r="H1675">
        <v>1</v>
      </c>
      <c r="I1675">
        <v>4</v>
      </c>
      <c r="J1675">
        <v>197.46</v>
      </c>
      <c r="K1675">
        <v>0</v>
      </c>
      <c r="L1675">
        <v>124</v>
      </c>
      <c r="M1675">
        <v>789.84</v>
      </c>
      <c r="N1675">
        <v>789.84</v>
      </c>
      <c r="O1675">
        <v>496</v>
      </c>
      <c r="P1675">
        <v>293.84000000000003</v>
      </c>
    </row>
    <row r="1676" spans="1:16" x14ac:dyDescent="0.3">
      <c r="A1676" s="1">
        <v>45992</v>
      </c>
      <c r="B1676" s="2" t="s">
        <v>39</v>
      </c>
      <c r="C1676" s="2" t="s">
        <v>92</v>
      </c>
      <c r="D1676" s="2" t="s">
        <v>41</v>
      </c>
      <c r="E1676" s="2" t="s">
        <v>51</v>
      </c>
      <c r="F1676" s="2" t="s">
        <v>43</v>
      </c>
      <c r="G1676" s="2" t="s">
        <v>111</v>
      </c>
      <c r="H1676">
        <v>3</v>
      </c>
      <c r="I1676">
        <v>12</v>
      </c>
      <c r="J1676">
        <v>877.95333333333326</v>
      </c>
      <c r="K1676">
        <v>0</v>
      </c>
      <c r="L1676">
        <v>600</v>
      </c>
      <c r="M1676">
        <v>9556.6299999999992</v>
      </c>
      <c r="N1676">
        <v>9556.6299999999992</v>
      </c>
      <c r="O1676">
        <v>6480</v>
      </c>
      <c r="P1676">
        <v>3076.6299999999992</v>
      </c>
    </row>
    <row r="1677" spans="1:16" x14ac:dyDescent="0.3">
      <c r="A1677" s="1">
        <v>45992</v>
      </c>
      <c r="B1677" s="2" t="s">
        <v>39</v>
      </c>
      <c r="C1677" s="2" t="s">
        <v>92</v>
      </c>
      <c r="D1677" s="2" t="s">
        <v>50</v>
      </c>
      <c r="E1677" s="2" t="s">
        <v>42</v>
      </c>
      <c r="F1677" s="2" t="s">
        <v>43</v>
      </c>
      <c r="G1677" s="2" t="s">
        <v>97</v>
      </c>
      <c r="H1677">
        <v>2</v>
      </c>
      <c r="I1677">
        <v>4</v>
      </c>
      <c r="J1677">
        <v>470.83500000000004</v>
      </c>
      <c r="K1677">
        <v>7.5000000000000011E-2</v>
      </c>
      <c r="L1677">
        <v>287</v>
      </c>
      <c r="M1677">
        <v>2618.5500000000002</v>
      </c>
      <c r="N1677">
        <v>2482.4610000000002</v>
      </c>
      <c r="O1677">
        <v>1614</v>
      </c>
      <c r="P1677">
        <v>868.46100000000013</v>
      </c>
    </row>
    <row r="1678" spans="1:16" x14ac:dyDescent="0.3">
      <c r="A1678" s="1">
        <v>45992</v>
      </c>
      <c r="B1678" s="2" t="s">
        <v>39</v>
      </c>
      <c r="C1678" s="2" t="s">
        <v>88</v>
      </c>
      <c r="D1678" s="2" t="s">
        <v>50</v>
      </c>
      <c r="E1678" s="2" t="s">
        <v>47</v>
      </c>
      <c r="F1678" s="2" t="s">
        <v>48</v>
      </c>
      <c r="G1678" s="2" t="s">
        <v>186</v>
      </c>
      <c r="H1678">
        <v>1</v>
      </c>
      <c r="I1678">
        <v>4</v>
      </c>
      <c r="J1678">
        <v>142.01</v>
      </c>
      <c r="K1678">
        <v>0</v>
      </c>
      <c r="L1678">
        <v>63</v>
      </c>
      <c r="M1678">
        <v>568.04</v>
      </c>
      <c r="N1678">
        <v>568.04</v>
      </c>
      <c r="O1678">
        <v>252</v>
      </c>
      <c r="P1678">
        <v>316.03999999999996</v>
      </c>
    </row>
    <row r="1679" spans="1:16" x14ac:dyDescent="0.3">
      <c r="A1679" s="1">
        <v>45992</v>
      </c>
      <c r="B1679" s="2" t="s">
        <v>39</v>
      </c>
      <c r="C1679" s="2" t="s">
        <v>45</v>
      </c>
      <c r="D1679" s="2" t="s">
        <v>41</v>
      </c>
      <c r="E1679" s="2" t="s">
        <v>47</v>
      </c>
      <c r="F1679" s="2" t="s">
        <v>43</v>
      </c>
      <c r="G1679" s="2" t="s">
        <v>129</v>
      </c>
      <c r="H1679">
        <v>2</v>
      </c>
      <c r="I1679">
        <v>2</v>
      </c>
      <c r="J1679">
        <v>109.76</v>
      </c>
      <c r="K1679">
        <v>0</v>
      </c>
      <c r="L1679">
        <v>54</v>
      </c>
      <c r="M1679">
        <v>219.52</v>
      </c>
      <c r="N1679">
        <v>219.52</v>
      </c>
      <c r="O1679">
        <v>108</v>
      </c>
      <c r="P1679">
        <v>111.52000000000001</v>
      </c>
    </row>
    <row r="1680" spans="1:16" x14ac:dyDescent="0.3">
      <c r="A1680" s="1">
        <v>45992</v>
      </c>
      <c r="B1680" s="2" t="s">
        <v>39</v>
      </c>
      <c r="C1680" s="2" t="s">
        <v>54</v>
      </c>
      <c r="D1680" s="2" t="s">
        <v>41</v>
      </c>
      <c r="E1680" s="2" t="s">
        <v>42</v>
      </c>
      <c r="F1680" s="2" t="s">
        <v>43</v>
      </c>
      <c r="G1680" s="2" t="s">
        <v>168</v>
      </c>
      <c r="H1680">
        <v>2</v>
      </c>
      <c r="I1680">
        <v>4</v>
      </c>
      <c r="J1680">
        <v>370.49499999999995</v>
      </c>
      <c r="K1680">
        <v>0</v>
      </c>
      <c r="L1680">
        <v>224.5</v>
      </c>
      <c r="M1680">
        <v>1481.98</v>
      </c>
      <c r="N1680">
        <v>1481.98</v>
      </c>
      <c r="O1680">
        <v>898</v>
      </c>
      <c r="P1680">
        <v>583.9799999999999</v>
      </c>
    </row>
    <row r="1681" spans="1:16" x14ac:dyDescent="0.3">
      <c r="A1681" s="1">
        <v>45992</v>
      </c>
      <c r="B1681" s="2" t="s">
        <v>39</v>
      </c>
      <c r="C1681" s="2" t="s">
        <v>54</v>
      </c>
      <c r="D1681" s="2" t="s">
        <v>41</v>
      </c>
      <c r="E1681" s="2" t="s">
        <v>42</v>
      </c>
      <c r="F1681" s="2" t="s">
        <v>48</v>
      </c>
      <c r="G1681" s="2" t="s">
        <v>168</v>
      </c>
      <c r="H1681">
        <v>4</v>
      </c>
      <c r="I1681">
        <v>9</v>
      </c>
      <c r="J1681">
        <v>85.252499999999998</v>
      </c>
      <c r="K1681">
        <v>0</v>
      </c>
      <c r="L1681">
        <v>37.25</v>
      </c>
      <c r="M1681">
        <v>817.24</v>
      </c>
      <c r="N1681">
        <v>817.24</v>
      </c>
      <c r="O1681">
        <v>361</v>
      </c>
      <c r="P1681">
        <v>456.23999999999995</v>
      </c>
    </row>
    <row r="1682" spans="1:16" x14ac:dyDescent="0.3">
      <c r="A1682" s="1">
        <v>45992</v>
      </c>
      <c r="B1682" s="2" t="s">
        <v>39</v>
      </c>
      <c r="C1682" s="2" t="s">
        <v>54</v>
      </c>
      <c r="D1682" s="2" t="s">
        <v>41</v>
      </c>
      <c r="E1682" s="2" t="s">
        <v>47</v>
      </c>
      <c r="F1682" s="2" t="s">
        <v>43</v>
      </c>
      <c r="G1682" s="2" t="s">
        <v>168</v>
      </c>
      <c r="H1682">
        <v>1</v>
      </c>
      <c r="I1682">
        <v>3</v>
      </c>
      <c r="J1682">
        <v>300.07</v>
      </c>
      <c r="K1682">
        <v>0.05</v>
      </c>
      <c r="L1682">
        <v>182</v>
      </c>
      <c r="M1682">
        <v>900.21</v>
      </c>
      <c r="N1682">
        <v>855.19949999999994</v>
      </c>
      <c r="O1682">
        <v>546</v>
      </c>
      <c r="P1682">
        <v>309.19949999999994</v>
      </c>
    </row>
    <row r="1683" spans="1:16" x14ac:dyDescent="0.3">
      <c r="A1683" s="1">
        <v>45992</v>
      </c>
      <c r="B1683" s="2" t="s">
        <v>39</v>
      </c>
      <c r="C1683" s="2" t="s">
        <v>78</v>
      </c>
      <c r="D1683" s="2" t="s">
        <v>46</v>
      </c>
      <c r="E1683" s="2" t="s">
        <v>42</v>
      </c>
      <c r="F1683" s="2" t="s">
        <v>43</v>
      </c>
      <c r="G1683" s="2" t="s">
        <v>223</v>
      </c>
      <c r="H1683">
        <v>1</v>
      </c>
      <c r="I1683">
        <v>2</v>
      </c>
      <c r="J1683">
        <v>169.7</v>
      </c>
      <c r="K1683">
        <v>0.1</v>
      </c>
      <c r="L1683">
        <v>86</v>
      </c>
      <c r="M1683">
        <v>339.4</v>
      </c>
      <c r="N1683">
        <v>305.45999999999998</v>
      </c>
      <c r="O1683">
        <v>172</v>
      </c>
      <c r="P1683">
        <v>133.45999999999998</v>
      </c>
    </row>
    <row r="1684" spans="1:16" x14ac:dyDescent="0.3">
      <c r="A1684" s="1">
        <v>45992</v>
      </c>
      <c r="B1684" s="2" t="s">
        <v>39</v>
      </c>
      <c r="C1684" s="2" t="s">
        <v>78</v>
      </c>
      <c r="D1684" s="2" t="s">
        <v>41</v>
      </c>
      <c r="E1684" s="2" t="s">
        <v>51</v>
      </c>
      <c r="F1684" s="2" t="s">
        <v>43</v>
      </c>
      <c r="G1684" s="2" t="s">
        <v>123</v>
      </c>
      <c r="H1684">
        <v>2</v>
      </c>
      <c r="I1684">
        <v>20</v>
      </c>
      <c r="J1684">
        <v>653.82500000000005</v>
      </c>
      <c r="K1684">
        <v>0</v>
      </c>
      <c r="L1684">
        <v>457.5</v>
      </c>
      <c r="M1684">
        <v>12914.23</v>
      </c>
      <c r="N1684">
        <v>12914.23</v>
      </c>
      <c r="O1684">
        <v>9025</v>
      </c>
      <c r="P1684">
        <v>3889.2300000000005</v>
      </c>
    </row>
    <row r="1685" spans="1:16" x14ac:dyDescent="0.3">
      <c r="A1685" s="1">
        <v>45992</v>
      </c>
      <c r="B1685" s="2" t="s">
        <v>39</v>
      </c>
      <c r="C1685" s="2" t="s">
        <v>78</v>
      </c>
      <c r="D1685" s="2" t="s">
        <v>41</v>
      </c>
      <c r="E1685" s="2" t="s">
        <v>51</v>
      </c>
      <c r="F1685" s="2" t="s">
        <v>48</v>
      </c>
      <c r="G1685" s="2" t="s">
        <v>123</v>
      </c>
      <c r="H1685">
        <v>1</v>
      </c>
      <c r="I1685">
        <v>22</v>
      </c>
      <c r="J1685">
        <v>86.24</v>
      </c>
      <c r="K1685">
        <v>0</v>
      </c>
      <c r="L1685">
        <v>39</v>
      </c>
      <c r="M1685">
        <v>1897.28</v>
      </c>
      <c r="N1685">
        <v>1897.28</v>
      </c>
      <c r="O1685">
        <v>858</v>
      </c>
      <c r="P1685">
        <v>1039.28</v>
      </c>
    </row>
    <row r="1686" spans="1:16" x14ac:dyDescent="0.3">
      <c r="A1686" s="1">
        <v>45992</v>
      </c>
      <c r="B1686" s="2" t="s">
        <v>83</v>
      </c>
      <c r="C1686" s="2" t="s">
        <v>84</v>
      </c>
      <c r="D1686" s="2" t="s">
        <v>41</v>
      </c>
      <c r="E1686" s="2" t="s">
        <v>51</v>
      </c>
      <c r="F1686" s="2" t="s">
        <v>52</v>
      </c>
      <c r="G1686" s="2" t="s">
        <v>85</v>
      </c>
      <c r="H1686">
        <v>1</v>
      </c>
      <c r="I1686">
        <v>5</v>
      </c>
      <c r="J1686">
        <v>38.32</v>
      </c>
      <c r="K1686">
        <v>0.05</v>
      </c>
      <c r="L1686">
        <v>18</v>
      </c>
      <c r="M1686">
        <v>191.6</v>
      </c>
      <c r="N1686">
        <v>182.01999999999998</v>
      </c>
      <c r="O1686">
        <v>90</v>
      </c>
      <c r="P1686">
        <v>92.019999999999982</v>
      </c>
    </row>
    <row r="1687" spans="1:16" x14ac:dyDescent="0.3">
      <c r="A1687" s="1">
        <v>45992</v>
      </c>
      <c r="B1687" s="2" t="s">
        <v>39</v>
      </c>
      <c r="C1687" s="2" t="s">
        <v>40</v>
      </c>
      <c r="D1687" s="2" t="s">
        <v>50</v>
      </c>
      <c r="E1687" s="2" t="s">
        <v>42</v>
      </c>
      <c r="F1687" s="2" t="s">
        <v>43</v>
      </c>
      <c r="G1687" s="2" t="s">
        <v>205</v>
      </c>
      <c r="H1687">
        <v>1</v>
      </c>
      <c r="I1687">
        <v>3</v>
      </c>
      <c r="J1687">
        <v>1193.19</v>
      </c>
      <c r="K1687">
        <v>0.08</v>
      </c>
      <c r="L1687">
        <v>760</v>
      </c>
      <c r="M1687">
        <v>3579.57</v>
      </c>
      <c r="N1687">
        <v>3293.2044000000001</v>
      </c>
      <c r="O1687">
        <v>2280</v>
      </c>
      <c r="P1687">
        <v>1013.2044000000001</v>
      </c>
    </row>
    <row r="1688" spans="1:16" x14ac:dyDescent="0.3">
      <c r="A1688" s="1">
        <v>45992</v>
      </c>
      <c r="B1688" s="2" t="s">
        <v>39</v>
      </c>
      <c r="C1688" s="2" t="s">
        <v>45</v>
      </c>
      <c r="D1688" s="2" t="s">
        <v>158</v>
      </c>
      <c r="E1688" s="2" t="s">
        <v>42</v>
      </c>
      <c r="F1688" s="2" t="s">
        <v>43</v>
      </c>
      <c r="G1688" s="2" t="s">
        <v>86</v>
      </c>
      <c r="H1688">
        <v>1</v>
      </c>
      <c r="I1688">
        <v>1</v>
      </c>
      <c r="J1688">
        <v>178.61</v>
      </c>
      <c r="K1688">
        <v>0</v>
      </c>
      <c r="L1688">
        <v>86</v>
      </c>
      <c r="M1688">
        <v>178.61</v>
      </c>
      <c r="N1688">
        <v>178.61</v>
      </c>
      <c r="O1688">
        <v>86</v>
      </c>
      <c r="P1688">
        <v>92.610000000000014</v>
      </c>
    </row>
    <row r="1689" spans="1:16" x14ac:dyDescent="0.3">
      <c r="A1689" s="1">
        <v>45992</v>
      </c>
      <c r="B1689" s="2" t="s">
        <v>39</v>
      </c>
      <c r="C1689" s="2" t="s">
        <v>92</v>
      </c>
      <c r="D1689" s="2" t="s">
        <v>46</v>
      </c>
      <c r="E1689" s="2" t="s">
        <v>51</v>
      </c>
      <c r="F1689" s="2" t="s">
        <v>43</v>
      </c>
      <c r="G1689" s="2" t="s">
        <v>154</v>
      </c>
      <c r="H1689">
        <v>1</v>
      </c>
      <c r="I1689">
        <v>5</v>
      </c>
      <c r="J1689">
        <v>96.78</v>
      </c>
      <c r="K1689">
        <v>0.08</v>
      </c>
      <c r="L1689">
        <v>54</v>
      </c>
      <c r="M1689">
        <v>483.9</v>
      </c>
      <c r="N1689">
        <v>445.18799999999999</v>
      </c>
      <c r="O1689">
        <v>270</v>
      </c>
      <c r="P1689">
        <v>175.18799999999999</v>
      </c>
    </row>
    <row r="1690" spans="1:16" x14ac:dyDescent="0.3">
      <c r="A1690" s="1">
        <v>45992</v>
      </c>
      <c r="B1690" s="2" t="s">
        <v>75</v>
      </c>
      <c r="C1690" s="2" t="s">
        <v>106</v>
      </c>
      <c r="D1690" s="2" t="s">
        <v>41</v>
      </c>
      <c r="E1690" s="2" t="s">
        <v>51</v>
      </c>
      <c r="F1690" s="2" t="s">
        <v>48</v>
      </c>
      <c r="G1690" s="2" t="s">
        <v>132</v>
      </c>
      <c r="H1690">
        <v>1</v>
      </c>
      <c r="I1690">
        <v>9</v>
      </c>
      <c r="J1690">
        <v>87.55</v>
      </c>
      <c r="K1690">
        <v>0</v>
      </c>
      <c r="L1690">
        <v>39</v>
      </c>
      <c r="M1690">
        <v>787.94999999999993</v>
      </c>
      <c r="N1690">
        <v>787.94999999999993</v>
      </c>
      <c r="O1690">
        <v>351</v>
      </c>
      <c r="P1690">
        <v>436.94999999999993</v>
      </c>
    </row>
    <row r="1691" spans="1:16" x14ac:dyDescent="0.3">
      <c r="A1691" s="1">
        <v>45992</v>
      </c>
      <c r="B1691" s="2" t="s">
        <v>65</v>
      </c>
      <c r="C1691" s="2" t="s">
        <v>66</v>
      </c>
      <c r="D1691" s="2" t="s">
        <v>50</v>
      </c>
      <c r="E1691" s="2" t="s">
        <v>51</v>
      </c>
      <c r="F1691" s="2" t="s">
        <v>48</v>
      </c>
      <c r="G1691" s="2" t="s">
        <v>49</v>
      </c>
      <c r="H1691">
        <v>1</v>
      </c>
      <c r="I1691">
        <v>12</v>
      </c>
      <c r="J1691">
        <v>21.68</v>
      </c>
      <c r="K1691">
        <v>0</v>
      </c>
      <c r="L1691">
        <v>8</v>
      </c>
      <c r="M1691">
        <v>260.15999999999997</v>
      </c>
      <c r="N1691">
        <v>260.15999999999997</v>
      </c>
      <c r="O1691">
        <v>96</v>
      </c>
      <c r="P1691">
        <v>164.15999999999997</v>
      </c>
    </row>
    <row r="1692" spans="1:16" x14ac:dyDescent="0.3">
      <c r="A1692" s="1">
        <v>45992</v>
      </c>
      <c r="B1692" s="2" t="s">
        <v>39</v>
      </c>
      <c r="C1692" s="2" t="s">
        <v>45</v>
      </c>
      <c r="D1692" s="2" t="s">
        <v>46</v>
      </c>
      <c r="E1692" s="2" t="s">
        <v>42</v>
      </c>
      <c r="F1692" s="2" t="s">
        <v>52</v>
      </c>
      <c r="G1692" s="2" t="s">
        <v>49</v>
      </c>
      <c r="H1692">
        <v>1</v>
      </c>
      <c r="I1692">
        <v>3</v>
      </c>
      <c r="J1692">
        <v>208.56</v>
      </c>
      <c r="K1692">
        <v>0.05</v>
      </c>
      <c r="L1692">
        <v>124</v>
      </c>
      <c r="M1692">
        <v>625.68000000000006</v>
      </c>
      <c r="N1692">
        <v>594.39600000000007</v>
      </c>
      <c r="O1692">
        <v>372</v>
      </c>
      <c r="P1692">
        <v>222.39600000000007</v>
      </c>
    </row>
    <row r="1693" spans="1:16" x14ac:dyDescent="0.3">
      <c r="A1693" s="1">
        <v>45992</v>
      </c>
      <c r="B1693" s="2" t="s">
        <v>39</v>
      </c>
      <c r="C1693" s="2" t="s">
        <v>40</v>
      </c>
      <c r="D1693" s="2" t="s">
        <v>50</v>
      </c>
      <c r="E1693" s="2" t="s">
        <v>42</v>
      </c>
      <c r="F1693" s="2" t="s">
        <v>43</v>
      </c>
      <c r="G1693" s="2" t="s">
        <v>103</v>
      </c>
      <c r="H1693">
        <v>1</v>
      </c>
      <c r="I1693">
        <v>1</v>
      </c>
      <c r="J1693">
        <v>285.85000000000002</v>
      </c>
      <c r="K1693">
        <v>0</v>
      </c>
      <c r="L1693">
        <v>182</v>
      </c>
      <c r="M1693">
        <v>285.85000000000002</v>
      </c>
      <c r="N1693">
        <v>285.85000000000002</v>
      </c>
      <c r="O1693">
        <v>182</v>
      </c>
      <c r="P1693">
        <v>103.85000000000002</v>
      </c>
    </row>
    <row r="1694" spans="1:16" x14ac:dyDescent="0.3">
      <c r="A1694" s="1">
        <v>45992</v>
      </c>
      <c r="B1694" s="2" t="s">
        <v>75</v>
      </c>
      <c r="C1694" s="2" t="s">
        <v>106</v>
      </c>
      <c r="D1694" s="2" t="s">
        <v>41</v>
      </c>
      <c r="E1694" s="2" t="s">
        <v>51</v>
      </c>
      <c r="F1694" s="2" t="s">
        <v>48</v>
      </c>
      <c r="G1694" s="2" t="s">
        <v>155</v>
      </c>
      <c r="H1694">
        <v>1</v>
      </c>
      <c r="I1694">
        <v>15</v>
      </c>
      <c r="J1694">
        <v>68.33</v>
      </c>
      <c r="K1694">
        <v>0</v>
      </c>
      <c r="L1694">
        <v>31</v>
      </c>
      <c r="M1694">
        <v>1024.95</v>
      </c>
      <c r="N1694">
        <v>1024.95</v>
      </c>
      <c r="O1694">
        <v>465</v>
      </c>
      <c r="P1694">
        <v>559.95000000000005</v>
      </c>
    </row>
    <row r="1695" spans="1:16" x14ac:dyDescent="0.3">
      <c r="A1695" s="1">
        <v>45992</v>
      </c>
      <c r="B1695" s="2" t="s">
        <v>39</v>
      </c>
      <c r="C1695" s="2" t="s">
        <v>45</v>
      </c>
      <c r="D1695" s="2" t="s">
        <v>41</v>
      </c>
      <c r="E1695" s="2" t="s">
        <v>47</v>
      </c>
      <c r="F1695" s="2" t="s">
        <v>52</v>
      </c>
      <c r="G1695" s="2" t="s">
        <v>132</v>
      </c>
      <c r="H1695">
        <v>1</v>
      </c>
      <c r="I1695">
        <v>3</v>
      </c>
      <c r="J1695">
        <v>45.26</v>
      </c>
      <c r="K1695">
        <v>0</v>
      </c>
      <c r="L1695">
        <v>18</v>
      </c>
      <c r="M1695">
        <v>135.78</v>
      </c>
      <c r="N1695">
        <v>135.78</v>
      </c>
      <c r="O1695">
        <v>54</v>
      </c>
      <c r="P1695">
        <v>81.78</v>
      </c>
    </row>
    <row r="1696" spans="1:16" x14ac:dyDescent="0.3">
      <c r="A1696" s="1">
        <v>45992</v>
      </c>
      <c r="B1696" s="2" t="s">
        <v>39</v>
      </c>
      <c r="C1696" s="2" t="s">
        <v>45</v>
      </c>
      <c r="D1696" s="2" t="s">
        <v>41</v>
      </c>
      <c r="E1696" s="2" t="s">
        <v>47</v>
      </c>
      <c r="F1696" s="2" t="s">
        <v>43</v>
      </c>
      <c r="G1696" s="2" t="s">
        <v>132</v>
      </c>
      <c r="H1696">
        <v>1</v>
      </c>
      <c r="I1696">
        <v>4</v>
      </c>
      <c r="J1696">
        <v>853.61</v>
      </c>
      <c r="K1696">
        <v>0</v>
      </c>
      <c r="L1696">
        <v>520</v>
      </c>
      <c r="M1696">
        <v>3414.44</v>
      </c>
      <c r="N1696">
        <v>3414.44</v>
      </c>
      <c r="O1696">
        <v>2080</v>
      </c>
      <c r="P1696">
        <v>1334.44</v>
      </c>
    </row>
    <row r="1697" spans="1:16" x14ac:dyDescent="0.3">
      <c r="A1697" s="1">
        <v>45992</v>
      </c>
      <c r="B1697" s="2" t="s">
        <v>39</v>
      </c>
      <c r="C1697" s="2" t="s">
        <v>40</v>
      </c>
      <c r="D1697" s="2" t="s">
        <v>46</v>
      </c>
      <c r="E1697" s="2" t="s">
        <v>47</v>
      </c>
      <c r="F1697" s="2" t="s">
        <v>48</v>
      </c>
      <c r="G1697" s="2" t="s">
        <v>167</v>
      </c>
      <c r="H1697">
        <v>2</v>
      </c>
      <c r="I1697">
        <v>5</v>
      </c>
      <c r="J1697">
        <v>74.594999999999999</v>
      </c>
      <c r="K1697">
        <v>0.12</v>
      </c>
      <c r="L1697">
        <v>31</v>
      </c>
      <c r="M1697">
        <v>368.37</v>
      </c>
      <c r="N1697">
        <v>324.16559999999998</v>
      </c>
      <c r="O1697">
        <v>155</v>
      </c>
      <c r="P1697">
        <v>169.16559999999998</v>
      </c>
    </row>
    <row r="1698" spans="1:16" x14ac:dyDescent="0.3">
      <c r="A1698" s="1">
        <v>45992</v>
      </c>
      <c r="B1698" s="2" t="s">
        <v>39</v>
      </c>
      <c r="C1698" s="2" t="s">
        <v>40</v>
      </c>
      <c r="D1698" s="2" t="s">
        <v>46</v>
      </c>
      <c r="E1698" s="2" t="s">
        <v>47</v>
      </c>
      <c r="F1698" s="2" t="s">
        <v>52</v>
      </c>
      <c r="G1698" s="2" t="s">
        <v>167</v>
      </c>
      <c r="H1698">
        <v>1</v>
      </c>
      <c r="I1698">
        <v>1</v>
      </c>
      <c r="J1698">
        <v>44.61</v>
      </c>
      <c r="K1698">
        <v>0.15</v>
      </c>
      <c r="L1698">
        <v>18</v>
      </c>
      <c r="M1698">
        <v>44.61</v>
      </c>
      <c r="N1698">
        <v>37.918500000000002</v>
      </c>
      <c r="O1698">
        <v>18</v>
      </c>
      <c r="P1698">
        <v>19.918500000000002</v>
      </c>
    </row>
    <row r="1699" spans="1:16" x14ac:dyDescent="0.3">
      <c r="A1699" s="1">
        <v>45992</v>
      </c>
      <c r="B1699" s="2" t="s">
        <v>75</v>
      </c>
      <c r="C1699" s="2" t="s">
        <v>76</v>
      </c>
      <c r="D1699" s="2" t="s">
        <v>50</v>
      </c>
      <c r="E1699" s="2" t="s">
        <v>42</v>
      </c>
      <c r="F1699" s="2" t="s">
        <v>48</v>
      </c>
      <c r="G1699" s="2" t="s">
        <v>82</v>
      </c>
      <c r="H1699">
        <v>1</v>
      </c>
      <c r="I1699">
        <v>4</v>
      </c>
      <c r="J1699">
        <v>22.77</v>
      </c>
      <c r="K1699">
        <v>0.05</v>
      </c>
      <c r="L1699">
        <v>8</v>
      </c>
      <c r="M1699">
        <v>91.08</v>
      </c>
      <c r="N1699">
        <v>86.525999999999996</v>
      </c>
      <c r="O1699">
        <v>32</v>
      </c>
      <c r="P1699">
        <v>54.525999999999996</v>
      </c>
    </row>
    <row r="1700" spans="1:16" x14ac:dyDescent="0.3">
      <c r="A1700" s="1">
        <v>45992</v>
      </c>
      <c r="B1700" s="2" t="s">
        <v>39</v>
      </c>
      <c r="C1700" s="2" t="s">
        <v>45</v>
      </c>
      <c r="D1700" s="2" t="s">
        <v>46</v>
      </c>
      <c r="E1700" s="2" t="s">
        <v>42</v>
      </c>
      <c r="F1700" s="2" t="s">
        <v>48</v>
      </c>
      <c r="G1700" s="2" t="s">
        <v>90</v>
      </c>
      <c r="H1700">
        <v>2</v>
      </c>
      <c r="I1700">
        <v>5</v>
      </c>
      <c r="J1700">
        <v>47.634999999999998</v>
      </c>
      <c r="K1700">
        <v>0.13500000000000001</v>
      </c>
      <c r="L1700">
        <v>19.5</v>
      </c>
      <c r="M1700">
        <v>213.17000000000002</v>
      </c>
      <c r="N1700">
        <v>185.55289999999999</v>
      </c>
      <c r="O1700">
        <v>86</v>
      </c>
      <c r="P1700">
        <v>99.552899999999994</v>
      </c>
    </row>
    <row r="1701" spans="1:16" x14ac:dyDescent="0.3">
      <c r="A1701" s="1">
        <v>45992</v>
      </c>
      <c r="B1701" s="2" t="s">
        <v>39</v>
      </c>
      <c r="C1701" s="2" t="s">
        <v>40</v>
      </c>
      <c r="D1701" s="2" t="s">
        <v>46</v>
      </c>
      <c r="E1701" s="2" t="s">
        <v>51</v>
      </c>
      <c r="F1701" s="2" t="s">
        <v>52</v>
      </c>
      <c r="G1701" s="2" t="s">
        <v>82</v>
      </c>
      <c r="H1701">
        <v>1</v>
      </c>
      <c r="I1701">
        <v>5</v>
      </c>
      <c r="J1701">
        <v>38.18</v>
      </c>
      <c r="K1701">
        <v>0.8</v>
      </c>
      <c r="L1701">
        <v>18</v>
      </c>
      <c r="M1701">
        <v>190.9</v>
      </c>
      <c r="N1701">
        <v>38.179999999999993</v>
      </c>
      <c r="O1701">
        <v>90</v>
      </c>
      <c r="P1701">
        <v>-51.820000000000007</v>
      </c>
    </row>
    <row r="1702" spans="1:16" x14ac:dyDescent="0.3">
      <c r="A1702" s="1">
        <v>45992</v>
      </c>
      <c r="B1702" s="2" t="s">
        <v>83</v>
      </c>
      <c r="C1702" s="2" t="s">
        <v>164</v>
      </c>
      <c r="D1702" s="2" t="s">
        <v>41</v>
      </c>
      <c r="E1702" s="2" t="s">
        <v>47</v>
      </c>
      <c r="F1702" s="2" t="s">
        <v>48</v>
      </c>
      <c r="G1702" s="2" t="s">
        <v>206</v>
      </c>
      <c r="H1702">
        <v>1</v>
      </c>
      <c r="I1702">
        <v>4</v>
      </c>
      <c r="J1702">
        <v>95.01</v>
      </c>
      <c r="K1702">
        <v>0.05</v>
      </c>
      <c r="L1702">
        <v>39</v>
      </c>
      <c r="M1702">
        <v>380.04</v>
      </c>
      <c r="N1702">
        <v>361.03800000000001</v>
      </c>
      <c r="O1702">
        <v>156</v>
      </c>
      <c r="P1702">
        <v>205.03800000000001</v>
      </c>
    </row>
    <row r="1703" spans="1:16" x14ac:dyDescent="0.3">
      <c r="A1703" s="1">
        <v>45992</v>
      </c>
      <c r="B1703" s="2" t="s">
        <v>39</v>
      </c>
      <c r="C1703" s="2" t="s">
        <v>92</v>
      </c>
      <c r="D1703" s="2" t="s">
        <v>50</v>
      </c>
      <c r="E1703" s="2" t="s">
        <v>47</v>
      </c>
      <c r="F1703" s="2" t="s">
        <v>48</v>
      </c>
      <c r="G1703" s="2" t="s">
        <v>130</v>
      </c>
      <c r="H1703">
        <v>2</v>
      </c>
      <c r="I1703">
        <v>6</v>
      </c>
      <c r="J1703">
        <v>83.53</v>
      </c>
      <c r="K1703">
        <v>0.1</v>
      </c>
      <c r="L1703">
        <v>35.5</v>
      </c>
      <c r="M1703">
        <v>263.34000000000003</v>
      </c>
      <c r="N1703">
        <v>237.006</v>
      </c>
      <c r="O1703">
        <v>103</v>
      </c>
      <c r="P1703">
        <v>134.006</v>
      </c>
    </row>
    <row r="1704" spans="1:16" x14ac:dyDescent="0.3">
      <c r="A1704" s="1">
        <v>45992</v>
      </c>
      <c r="B1704" s="2" t="s">
        <v>39</v>
      </c>
      <c r="C1704" s="2" t="s">
        <v>92</v>
      </c>
      <c r="D1704" s="2" t="s">
        <v>50</v>
      </c>
      <c r="E1704" s="2" t="s">
        <v>47</v>
      </c>
      <c r="F1704" s="2" t="s">
        <v>43</v>
      </c>
      <c r="G1704" s="2" t="s">
        <v>130</v>
      </c>
      <c r="H1704">
        <v>2</v>
      </c>
      <c r="I1704">
        <v>6</v>
      </c>
      <c r="J1704">
        <v>567.52499999999998</v>
      </c>
      <c r="K1704">
        <v>0.05</v>
      </c>
      <c r="L1704">
        <v>351</v>
      </c>
      <c r="M1704">
        <v>2860.76</v>
      </c>
      <c r="N1704">
        <v>2692.8159999999998</v>
      </c>
      <c r="O1704">
        <v>1768</v>
      </c>
      <c r="P1704">
        <v>924.81600000000003</v>
      </c>
    </row>
    <row r="1705" spans="1:16" x14ac:dyDescent="0.3">
      <c r="A1705" s="1">
        <v>45992</v>
      </c>
      <c r="B1705" s="2" t="s">
        <v>39</v>
      </c>
      <c r="C1705" s="2" t="s">
        <v>40</v>
      </c>
      <c r="D1705" s="2" t="s">
        <v>41</v>
      </c>
      <c r="E1705" s="2" t="s">
        <v>51</v>
      </c>
      <c r="F1705" s="2" t="s">
        <v>48</v>
      </c>
      <c r="G1705" s="2" t="s">
        <v>200</v>
      </c>
      <c r="H1705">
        <v>1</v>
      </c>
      <c r="I1705">
        <v>14</v>
      </c>
      <c r="J1705">
        <v>21.23</v>
      </c>
      <c r="K1705">
        <v>0</v>
      </c>
      <c r="L1705">
        <v>8</v>
      </c>
      <c r="M1705">
        <v>297.22000000000003</v>
      </c>
      <c r="N1705">
        <v>297.22000000000003</v>
      </c>
      <c r="O1705">
        <v>112</v>
      </c>
      <c r="P1705">
        <v>185.22000000000003</v>
      </c>
    </row>
    <row r="1706" spans="1:16" x14ac:dyDescent="0.3">
      <c r="A1706" s="1">
        <v>45992</v>
      </c>
      <c r="B1706" s="2" t="s">
        <v>56</v>
      </c>
      <c r="C1706" s="2" t="s">
        <v>72</v>
      </c>
      <c r="D1706" s="2" t="s">
        <v>46</v>
      </c>
      <c r="E1706" s="2" t="s">
        <v>42</v>
      </c>
      <c r="F1706" s="2" t="s">
        <v>48</v>
      </c>
      <c r="G1706" s="2" t="s">
        <v>199</v>
      </c>
      <c r="H1706">
        <v>1</v>
      </c>
      <c r="I1706">
        <v>2</v>
      </c>
      <c r="J1706">
        <v>132.96</v>
      </c>
      <c r="K1706">
        <v>0.15</v>
      </c>
      <c r="L1706">
        <v>63</v>
      </c>
      <c r="M1706">
        <v>265.92</v>
      </c>
      <c r="N1706">
        <v>226.03200000000001</v>
      </c>
      <c r="O1706">
        <v>126</v>
      </c>
      <c r="P1706">
        <v>100.03200000000001</v>
      </c>
    </row>
    <row r="1707" spans="1:16" x14ac:dyDescent="0.3">
      <c r="A1707" s="1">
        <v>45992</v>
      </c>
      <c r="B1707" s="2" t="s">
        <v>56</v>
      </c>
      <c r="C1707" s="2" t="s">
        <v>72</v>
      </c>
      <c r="D1707" s="2" t="s">
        <v>46</v>
      </c>
      <c r="E1707" s="2" t="s">
        <v>42</v>
      </c>
      <c r="F1707" s="2" t="s">
        <v>52</v>
      </c>
      <c r="G1707" s="2" t="s">
        <v>199</v>
      </c>
      <c r="H1707">
        <v>1</v>
      </c>
      <c r="I1707">
        <v>2</v>
      </c>
      <c r="J1707">
        <v>44.13</v>
      </c>
      <c r="K1707">
        <v>0.08</v>
      </c>
      <c r="L1707">
        <v>18</v>
      </c>
      <c r="M1707">
        <v>88.26</v>
      </c>
      <c r="N1707">
        <v>81.199200000000005</v>
      </c>
      <c r="O1707">
        <v>36</v>
      </c>
      <c r="P1707">
        <v>45.199200000000005</v>
      </c>
    </row>
    <row r="1708" spans="1:16" x14ac:dyDescent="0.3">
      <c r="A1708" s="1">
        <v>45992</v>
      </c>
      <c r="B1708" s="2" t="s">
        <v>83</v>
      </c>
      <c r="C1708" s="2" t="s">
        <v>164</v>
      </c>
      <c r="D1708" s="2" t="s">
        <v>50</v>
      </c>
      <c r="E1708" s="2" t="s">
        <v>51</v>
      </c>
      <c r="F1708" s="2" t="s">
        <v>48</v>
      </c>
      <c r="G1708" s="2" t="s">
        <v>53</v>
      </c>
      <c r="H1708">
        <v>2</v>
      </c>
      <c r="I1708">
        <v>12</v>
      </c>
      <c r="J1708">
        <v>122.21</v>
      </c>
      <c r="K1708">
        <v>0</v>
      </c>
      <c r="L1708">
        <v>63</v>
      </c>
      <c r="M1708">
        <v>1466.52</v>
      </c>
      <c r="N1708">
        <v>1466.52</v>
      </c>
      <c r="O1708">
        <v>756</v>
      </c>
      <c r="P1708">
        <v>710.52</v>
      </c>
    </row>
    <row r="1709" spans="1:16" x14ac:dyDescent="0.3">
      <c r="A1709" s="1">
        <v>45992</v>
      </c>
      <c r="B1709" s="2" t="s">
        <v>39</v>
      </c>
      <c r="C1709" s="2" t="s">
        <v>88</v>
      </c>
      <c r="D1709" s="2" t="s">
        <v>50</v>
      </c>
      <c r="E1709" s="2" t="s">
        <v>42</v>
      </c>
      <c r="F1709" s="2" t="s">
        <v>48</v>
      </c>
      <c r="G1709" s="2" t="s">
        <v>140</v>
      </c>
      <c r="H1709">
        <v>1</v>
      </c>
      <c r="I1709">
        <v>2</v>
      </c>
      <c r="J1709">
        <v>136.06</v>
      </c>
      <c r="K1709">
        <v>0.05</v>
      </c>
      <c r="L1709">
        <v>63</v>
      </c>
      <c r="M1709">
        <v>272.12</v>
      </c>
      <c r="N1709">
        <v>258.51400000000001</v>
      </c>
      <c r="O1709">
        <v>126</v>
      </c>
      <c r="P1709">
        <v>132.51400000000001</v>
      </c>
    </row>
    <row r="1710" spans="1:16" x14ac:dyDescent="0.3">
      <c r="A1710" s="1">
        <v>45992</v>
      </c>
      <c r="B1710" s="2" t="s">
        <v>39</v>
      </c>
      <c r="C1710" s="2" t="s">
        <v>92</v>
      </c>
      <c r="D1710" s="2" t="s">
        <v>41</v>
      </c>
      <c r="E1710" s="2" t="s">
        <v>51</v>
      </c>
      <c r="F1710" s="2" t="s">
        <v>43</v>
      </c>
      <c r="G1710" s="2" t="s">
        <v>231</v>
      </c>
      <c r="H1710">
        <v>1</v>
      </c>
      <c r="I1710">
        <v>10</v>
      </c>
      <c r="J1710">
        <v>165.03</v>
      </c>
      <c r="K1710">
        <v>0</v>
      </c>
      <c r="L1710">
        <v>86</v>
      </c>
      <c r="M1710">
        <v>1650.3</v>
      </c>
      <c r="N1710">
        <v>1650.3</v>
      </c>
      <c r="O1710">
        <v>860</v>
      </c>
      <c r="P1710">
        <v>790.3</v>
      </c>
    </row>
    <row r="1711" spans="1:16" x14ac:dyDescent="0.3">
      <c r="A1711" s="1">
        <v>45992</v>
      </c>
      <c r="B1711" s="2" t="s">
        <v>39</v>
      </c>
      <c r="C1711" s="2" t="s">
        <v>92</v>
      </c>
      <c r="D1711" s="2" t="s">
        <v>41</v>
      </c>
      <c r="E1711" s="2" t="s">
        <v>51</v>
      </c>
      <c r="F1711" s="2" t="s">
        <v>52</v>
      </c>
      <c r="G1711" s="2" t="s">
        <v>231</v>
      </c>
      <c r="H1711">
        <v>1</v>
      </c>
      <c r="I1711">
        <v>11</v>
      </c>
      <c r="J1711">
        <v>194.29</v>
      </c>
      <c r="K1711">
        <v>0</v>
      </c>
      <c r="L1711">
        <v>124</v>
      </c>
      <c r="M1711">
        <v>2137.19</v>
      </c>
      <c r="N1711">
        <v>2137.19</v>
      </c>
      <c r="O1711">
        <v>1364</v>
      </c>
      <c r="P1711">
        <v>773.19</v>
      </c>
    </row>
    <row r="1712" spans="1:16" x14ac:dyDescent="0.3">
      <c r="A1712" s="1">
        <v>45992</v>
      </c>
      <c r="B1712" s="2" t="s">
        <v>56</v>
      </c>
      <c r="C1712" s="2" t="s">
        <v>57</v>
      </c>
      <c r="D1712" s="2" t="s">
        <v>41</v>
      </c>
      <c r="E1712" s="2" t="s">
        <v>51</v>
      </c>
      <c r="F1712" s="2" t="s">
        <v>48</v>
      </c>
      <c r="G1712" s="2" t="s">
        <v>86</v>
      </c>
      <c r="H1712">
        <v>3</v>
      </c>
      <c r="I1712">
        <v>44</v>
      </c>
      <c r="J1712">
        <v>99.953333333333333</v>
      </c>
      <c r="K1712">
        <v>0</v>
      </c>
      <c r="L1712">
        <v>47</v>
      </c>
      <c r="M1712">
        <v>4299.12</v>
      </c>
      <c r="N1712">
        <v>4299.12</v>
      </c>
      <c r="O1712">
        <v>2004</v>
      </c>
      <c r="P1712">
        <v>2295.12</v>
      </c>
    </row>
    <row r="1713" spans="1:16" x14ac:dyDescent="0.3">
      <c r="A1713" s="1">
        <v>45992</v>
      </c>
      <c r="B1713" s="2" t="s">
        <v>83</v>
      </c>
      <c r="C1713" s="2" t="s">
        <v>164</v>
      </c>
      <c r="D1713" s="2" t="s">
        <v>50</v>
      </c>
      <c r="E1713" s="2" t="s">
        <v>42</v>
      </c>
      <c r="F1713" s="2" t="s">
        <v>48</v>
      </c>
      <c r="G1713" s="2" t="s">
        <v>232</v>
      </c>
      <c r="H1713">
        <v>1</v>
      </c>
      <c r="I1713">
        <v>3</v>
      </c>
      <c r="J1713">
        <v>96.53</v>
      </c>
      <c r="K1713">
        <v>0.1</v>
      </c>
      <c r="L1713">
        <v>39</v>
      </c>
      <c r="M1713">
        <v>289.59000000000003</v>
      </c>
      <c r="N1713">
        <v>260.63100000000003</v>
      </c>
      <c r="O1713">
        <v>117</v>
      </c>
      <c r="P1713">
        <v>143.63100000000003</v>
      </c>
    </row>
    <row r="1714" spans="1:16" x14ac:dyDescent="0.3">
      <c r="A1714" s="1">
        <v>45992</v>
      </c>
      <c r="B1714" s="2" t="s">
        <v>65</v>
      </c>
      <c r="C1714" s="2" t="s">
        <v>66</v>
      </c>
      <c r="D1714" s="2" t="s">
        <v>50</v>
      </c>
      <c r="E1714" s="2" t="s">
        <v>42</v>
      </c>
      <c r="F1714" s="2" t="s">
        <v>43</v>
      </c>
      <c r="G1714" s="2" t="s">
        <v>103</v>
      </c>
      <c r="H1714">
        <v>1</v>
      </c>
      <c r="I1714">
        <v>1</v>
      </c>
      <c r="J1714">
        <v>853.34</v>
      </c>
      <c r="K1714">
        <v>0.08</v>
      </c>
      <c r="L1714">
        <v>520</v>
      </c>
      <c r="M1714">
        <v>853.34</v>
      </c>
      <c r="N1714">
        <v>785.07280000000003</v>
      </c>
      <c r="O1714">
        <v>520</v>
      </c>
      <c r="P1714">
        <v>265.07280000000003</v>
      </c>
    </row>
    <row r="1715" spans="1:16" x14ac:dyDescent="0.3">
      <c r="A1715" s="1">
        <v>45992</v>
      </c>
      <c r="B1715" s="2" t="s">
        <v>83</v>
      </c>
      <c r="C1715" s="2" t="s">
        <v>84</v>
      </c>
      <c r="D1715" s="2" t="s">
        <v>46</v>
      </c>
      <c r="E1715" s="2" t="s">
        <v>51</v>
      </c>
      <c r="F1715" s="2" t="s">
        <v>43</v>
      </c>
      <c r="G1715" s="2" t="s">
        <v>191</v>
      </c>
      <c r="H1715">
        <v>2</v>
      </c>
      <c r="I1715">
        <v>17</v>
      </c>
      <c r="J1715">
        <v>178.92999999999998</v>
      </c>
      <c r="K1715">
        <v>0.42500000000000004</v>
      </c>
      <c r="L1715">
        <v>118</v>
      </c>
      <c r="M1715">
        <v>3634.0099999999998</v>
      </c>
      <c r="N1715">
        <v>1080.5394999999996</v>
      </c>
      <c r="O1715">
        <v>2454</v>
      </c>
      <c r="P1715">
        <v>-1373.4605000000004</v>
      </c>
    </row>
    <row r="1716" spans="1:16" x14ac:dyDescent="0.3">
      <c r="A1716" s="1">
        <v>45992</v>
      </c>
      <c r="B1716" s="2" t="s">
        <v>75</v>
      </c>
      <c r="C1716" s="2" t="s">
        <v>76</v>
      </c>
      <c r="D1716" s="2" t="s">
        <v>50</v>
      </c>
      <c r="E1716" s="2" t="s">
        <v>47</v>
      </c>
      <c r="F1716" s="2" t="s">
        <v>48</v>
      </c>
      <c r="G1716" s="2" t="s">
        <v>82</v>
      </c>
      <c r="H1716">
        <v>3</v>
      </c>
      <c r="I1716">
        <v>5</v>
      </c>
      <c r="J1716">
        <v>63.010000000000005</v>
      </c>
      <c r="K1716">
        <v>6.0000000000000005E-2</v>
      </c>
      <c r="L1716">
        <v>26.333333333333332</v>
      </c>
      <c r="M1716">
        <v>237.01000000000002</v>
      </c>
      <c r="N1716">
        <v>223.72790000000001</v>
      </c>
      <c r="O1716">
        <v>95</v>
      </c>
      <c r="P1716">
        <v>128.72790000000001</v>
      </c>
    </row>
    <row r="1717" spans="1:16" x14ac:dyDescent="0.3">
      <c r="A1717" s="1">
        <v>45992</v>
      </c>
      <c r="B1717" s="2" t="s">
        <v>39</v>
      </c>
      <c r="C1717" s="2" t="s">
        <v>88</v>
      </c>
      <c r="D1717" s="2" t="s">
        <v>41</v>
      </c>
      <c r="E1717" s="2" t="s">
        <v>51</v>
      </c>
      <c r="F1717" s="2" t="s">
        <v>43</v>
      </c>
      <c r="G1717" s="2" t="s">
        <v>224</v>
      </c>
      <c r="H1717">
        <v>1</v>
      </c>
      <c r="I1717">
        <v>11</v>
      </c>
      <c r="J1717">
        <v>545.26</v>
      </c>
      <c r="K1717">
        <v>0</v>
      </c>
      <c r="L1717">
        <v>395</v>
      </c>
      <c r="M1717">
        <v>5997.86</v>
      </c>
      <c r="N1717">
        <v>5997.86</v>
      </c>
      <c r="O1717">
        <v>4345</v>
      </c>
      <c r="P1717">
        <v>1652.8599999999997</v>
      </c>
    </row>
    <row r="1718" spans="1:16" x14ac:dyDescent="0.3">
      <c r="A1718" s="1">
        <v>45992</v>
      </c>
      <c r="B1718" s="2" t="s">
        <v>75</v>
      </c>
      <c r="C1718" s="2" t="s">
        <v>106</v>
      </c>
      <c r="D1718" s="2" t="s">
        <v>41</v>
      </c>
      <c r="E1718" s="2" t="s">
        <v>42</v>
      </c>
      <c r="F1718" s="2" t="s">
        <v>43</v>
      </c>
      <c r="G1718" s="2" t="s">
        <v>155</v>
      </c>
      <c r="H1718">
        <v>1</v>
      </c>
      <c r="I1718">
        <v>2</v>
      </c>
      <c r="J1718">
        <v>635.79999999999995</v>
      </c>
      <c r="K1718">
        <v>0</v>
      </c>
      <c r="L1718">
        <v>395</v>
      </c>
      <c r="M1718">
        <v>1271.5999999999999</v>
      </c>
      <c r="N1718">
        <v>1271.5999999999999</v>
      </c>
      <c r="O1718">
        <v>790</v>
      </c>
      <c r="P1718">
        <v>481.59999999999991</v>
      </c>
    </row>
    <row r="1719" spans="1:16" x14ac:dyDescent="0.3">
      <c r="A1719" s="1">
        <v>45992</v>
      </c>
      <c r="B1719" s="2" t="s">
        <v>75</v>
      </c>
      <c r="C1719" s="2" t="s">
        <v>76</v>
      </c>
      <c r="D1719" s="2" t="s">
        <v>50</v>
      </c>
      <c r="E1719" s="2" t="s">
        <v>47</v>
      </c>
      <c r="F1719" s="2" t="s">
        <v>43</v>
      </c>
      <c r="G1719" s="2" t="s">
        <v>151</v>
      </c>
      <c r="H1719">
        <v>1</v>
      </c>
      <c r="I1719">
        <v>2</v>
      </c>
      <c r="J1719">
        <v>1193.48</v>
      </c>
      <c r="K1719">
        <v>0.08</v>
      </c>
      <c r="L1719">
        <v>760</v>
      </c>
      <c r="M1719">
        <v>2386.96</v>
      </c>
      <c r="N1719">
        <v>2196.0032000000001</v>
      </c>
      <c r="O1719">
        <v>1520</v>
      </c>
      <c r="P1719">
        <v>676.00320000000011</v>
      </c>
    </row>
    <row r="1720" spans="1:16" x14ac:dyDescent="0.3">
      <c r="A1720" s="1">
        <v>45992</v>
      </c>
      <c r="B1720" s="2" t="s">
        <v>39</v>
      </c>
      <c r="C1720" s="2" t="s">
        <v>40</v>
      </c>
      <c r="D1720" s="2" t="s">
        <v>50</v>
      </c>
      <c r="E1720" s="2" t="s">
        <v>47</v>
      </c>
      <c r="F1720" s="2" t="s">
        <v>43</v>
      </c>
      <c r="G1720" s="2" t="s">
        <v>124</v>
      </c>
      <c r="H1720">
        <v>2</v>
      </c>
      <c r="I1720">
        <v>5</v>
      </c>
      <c r="J1720">
        <v>578.96499999999992</v>
      </c>
      <c r="K1720">
        <v>0.04</v>
      </c>
      <c r="L1720">
        <v>351</v>
      </c>
      <c r="M1720">
        <v>2074.1</v>
      </c>
      <c r="N1720">
        <v>1976.3751999999999</v>
      </c>
      <c r="O1720">
        <v>1248</v>
      </c>
      <c r="P1720">
        <v>728.37519999999995</v>
      </c>
    </row>
    <row r="1721" spans="1:16" x14ac:dyDescent="0.3">
      <c r="A1721" s="1">
        <v>45992</v>
      </c>
      <c r="B1721" s="2" t="s">
        <v>39</v>
      </c>
      <c r="C1721" s="2" t="s">
        <v>78</v>
      </c>
      <c r="D1721" s="2" t="s">
        <v>50</v>
      </c>
      <c r="E1721" s="2" t="s">
        <v>42</v>
      </c>
      <c r="F1721" s="2" t="s">
        <v>48</v>
      </c>
      <c r="G1721" s="2" t="s">
        <v>190</v>
      </c>
      <c r="H1721">
        <v>1</v>
      </c>
      <c r="I1721">
        <v>2</v>
      </c>
      <c r="J1721">
        <v>74.680000000000007</v>
      </c>
      <c r="K1721">
        <v>0.08</v>
      </c>
      <c r="L1721">
        <v>31</v>
      </c>
      <c r="M1721">
        <v>149.36000000000001</v>
      </c>
      <c r="N1721">
        <v>137.41120000000001</v>
      </c>
      <c r="O1721">
        <v>62</v>
      </c>
      <c r="P1721">
        <v>75.411200000000008</v>
      </c>
    </row>
    <row r="1722" spans="1:16" x14ac:dyDescent="0.3">
      <c r="A1722" s="1">
        <v>45992</v>
      </c>
      <c r="B1722" s="2" t="s">
        <v>39</v>
      </c>
      <c r="C1722" s="2" t="s">
        <v>40</v>
      </c>
      <c r="D1722" s="2" t="s">
        <v>46</v>
      </c>
      <c r="E1722" s="2" t="s">
        <v>47</v>
      </c>
      <c r="F1722" s="2" t="s">
        <v>48</v>
      </c>
      <c r="G1722" s="2" t="s">
        <v>120</v>
      </c>
      <c r="H1722">
        <v>1</v>
      </c>
      <c r="I1722">
        <v>3</v>
      </c>
      <c r="J1722">
        <v>24.59</v>
      </c>
      <c r="K1722">
        <v>0.05</v>
      </c>
      <c r="L1722">
        <v>8</v>
      </c>
      <c r="M1722">
        <v>73.77</v>
      </c>
      <c r="N1722">
        <v>70.081499999999991</v>
      </c>
      <c r="O1722">
        <v>24</v>
      </c>
      <c r="P1722">
        <v>46.081499999999991</v>
      </c>
    </row>
    <row r="1723" spans="1:16" x14ac:dyDescent="0.3">
      <c r="A1723" s="1">
        <v>45992</v>
      </c>
      <c r="B1723" s="2" t="s">
        <v>56</v>
      </c>
      <c r="C1723" s="2" t="s">
        <v>57</v>
      </c>
      <c r="D1723" s="2" t="s">
        <v>50</v>
      </c>
      <c r="E1723" s="2" t="s">
        <v>47</v>
      </c>
      <c r="F1723" s="2" t="s">
        <v>43</v>
      </c>
      <c r="G1723" s="2" t="s">
        <v>60</v>
      </c>
      <c r="H1723">
        <v>1</v>
      </c>
      <c r="I1723">
        <v>1</v>
      </c>
      <c r="J1723">
        <v>301.55</v>
      </c>
      <c r="K1723">
        <v>0.08</v>
      </c>
      <c r="L1723">
        <v>182</v>
      </c>
      <c r="M1723">
        <v>301.55</v>
      </c>
      <c r="N1723">
        <v>277.42600000000004</v>
      </c>
      <c r="O1723">
        <v>182</v>
      </c>
      <c r="P1723">
        <v>95.426000000000045</v>
      </c>
    </row>
    <row r="1724" spans="1:16" x14ac:dyDescent="0.3">
      <c r="A1724" s="1">
        <v>45992</v>
      </c>
      <c r="B1724" s="2" t="s">
        <v>39</v>
      </c>
      <c r="C1724" s="2" t="s">
        <v>45</v>
      </c>
      <c r="D1724" s="2" t="s">
        <v>41</v>
      </c>
      <c r="E1724" s="2" t="s">
        <v>47</v>
      </c>
      <c r="F1724" s="2" t="s">
        <v>52</v>
      </c>
      <c r="G1724" s="2" t="s">
        <v>170</v>
      </c>
      <c r="H1724">
        <v>2</v>
      </c>
      <c r="I1724">
        <v>4</v>
      </c>
      <c r="J1724">
        <v>129.435</v>
      </c>
      <c r="K1724">
        <v>2.5000000000000001E-2</v>
      </c>
      <c r="L1724">
        <v>71</v>
      </c>
      <c r="M1724">
        <v>347.66999999999996</v>
      </c>
      <c r="N1724">
        <v>341.01</v>
      </c>
      <c r="O1724">
        <v>178</v>
      </c>
      <c r="P1724">
        <v>163.01</v>
      </c>
    </row>
    <row r="1725" spans="1:16" x14ac:dyDescent="0.3">
      <c r="A1725" s="1">
        <v>45992</v>
      </c>
      <c r="B1725" s="2" t="s">
        <v>75</v>
      </c>
      <c r="C1725" s="2" t="s">
        <v>76</v>
      </c>
      <c r="D1725" s="2" t="s">
        <v>50</v>
      </c>
      <c r="E1725" s="2" t="s">
        <v>42</v>
      </c>
      <c r="F1725" s="2" t="s">
        <v>52</v>
      </c>
      <c r="G1725" s="2" t="s">
        <v>142</v>
      </c>
      <c r="H1725">
        <v>1</v>
      </c>
      <c r="I1725">
        <v>1</v>
      </c>
      <c r="J1725">
        <v>204.89</v>
      </c>
      <c r="K1725">
        <v>0.12</v>
      </c>
      <c r="L1725">
        <v>124</v>
      </c>
      <c r="M1725">
        <v>204.89</v>
      </c>
      <c r="N1725">
        <v>180.30319999999998</v>
      </c>
      <c r="O1725">
        <v>124</v>
      </c>
      <c r="P1725">
        <v>56.303199999999975</v>
      </c>
    </row>
    <row r="1726" spans="1:16" x14ac:dyDescent="0.3">
      <c r="A1726" s="1">
        <v>45992</v>
      </c>
      <c r="B1726" s="2" t="s">
        <v>75</v>
      </c>
      <c r="C1726" s="2" t="s">
        <v>76</v>
      </c>
      <c r="D1726" s="2" t="s">
        <v>50</v>
      </c>
      <c r="E1726" s="2" t="s">
        <v>42</v>
      </c>
      <c r="F1726" s="2" t="s">
        <v>43</v>
      </c>
      <c r="G1726" s="2" t="s">
        <v>142</v>
      </c>
      <c r="H1726">
        <v>1</v>
      </c>
      <c r="I1726">
        <v>3</v>
      </c>
      <c r="J1726">
        <v>103.46</v>
      </c>
      <c r="K1726">
        <v>0.08</v>
      </c>
      <c r="L1726">
        <v>54</v>
      </c>
      <c r="M1726">
        <v>310.38</v>
      </c>
      <c r="N1726">
        <v>285.5496</v>
      </c>
      <c r="O1726">
        <v>162</v>
      </c>
      <c r="P1726">
        <v>123.5496</v>
      </c>
    </row>
    <row r="1727" spans="1:16" x14ac:dyDescent="0.3">
      <c r="A1727" s="1">
        <v>45992</v>
      </c>
      <c r="B1727" s="2" t="s">
        <v>75</v>
      </c>
      <c r="C1727" s="2" t="s">
        <v>76</v>
      </c>
      <c r="D1727" s="2" t="s">
        <v>50</v>
      </c>
      <c r="E1727" s="2" t="s">
        <v>42</v>
      </c>
      <c r="F1727" s="2" t="s">
        <v>48</v>
      </c>
      <c r="G1727" s="2" t="s">
        <v>142</v>
      </c>
      <c r="H1727">
        <v>1</v>
      </c>
      <c r="I1727">
        <v>4</v>
      </c>
      <c r="J1727">
        <v>94.9</v>
      </c>
      <c r="K1727">
        <v>0.05</v>
      </c>
      <c r="L1727">
        <v>39</v>
      </c>
      <c r="M1727">
        <v>379.6</v>
      </c>
      <c r="N1727">
        <v>360.62</v>
      </c>
      <c r="O1727">
        <v>156</v>
      </c>
      <c r="P1727">
        <v>204.62</v>
      </c>
    </row>
    <row r="1728" spans="1:16" x14ac:dyDescent="0.3">
      <c r="A1728" s="1">
        <v>45992</v>
      </c>
      <c r="B1728" s="2" t="s">
        <v>39</v>
      </c>
      <c r="C1728" s="2" t="s">
        <v>92</v>
      </c>
      <c r="D1728" s="2" t="s">
        <v>46</v>
      </c>
      <c r="E1728" s="2" t="s">
        <v>47</v>
      </c>
      <c r="F1728" s="2" t="s">
        <v>48</v>
      </c>
      <c r="G1728" s="2" t="s">
        <v>154</v>
      </c>
      <c r="H1728">
        <v>3</v>
      </c>
      <c r="I1728">
        <v>11</v>
      </c>
      <c r="J1728">
        <v>81.44</v>
      </c>
      <c r="K1728">
        <v>8.3333333333333343E-2</v>
      </c>
      <c r="L1728">
        <v>34</v>
      </c>
      <c r="M1728">
        <v>1194.08</v>
      </c>
      <c r="N1728">
        <v>1089.9559999999999</v>
      </c>
      <c r="O1728">
        <v>510</v>
      </c>
      <c r="P1728">
        <v>579.95600000000002</v>
      </c>
    </row>
    <row r="1729" spans="1:16" x14ac:dyDescent="0.3">
      <c r="A1729" s="1">
        <v>45992</v>
      </c>
      <c r="B1729" s="2" t="s">
        <v>39</v>
      </c>
      <c r="C1729" s="2" t="s">
        <v>92</v>
      </c>
      <c r="D1729" s="2" t="s">
        <v>46</v>
      </c>
      <c r="E1729" s="2" t="s">
        <v>47</v>
      </c>
      <c r="F1729" s="2" t="s">
        <v>43</v>
      </c>
      <c r="G1729" s="2" t="s">
        <v>154</v>
      </c>
      <c r="H1729">
        <v>2</v>
      </c>
      <c r="I1729">
        <v>5</v>
      </c>
      <c r="J1729">
        <v>762.26499999999999</v>
      </c>
      <c r="K1729">
        <v>0.15</v>
      </c>
      <c r="L1729">
        <v>457.5</v>
      </c>
      <c r="M1729">
        <v>3699.9700000000003</v>
      </c>
      <c r="N1729">
        <v>3144.9745000000003</v>
      </c>
      <c r="O1729">
        <v>2225</v>
      </c>
      <c r="P1729">
        <v>919.97450000000003</v>
      </c>
    </row>
    <row r="1730" spans="1:16" x14ac:dyDescent="0.3">
      <c r="A1730" s="1">
        <v>45992</v>
      </c>
      <c r="B1730" s="2" t="s">
        <v>39</v>
      </c>
      <c r="C1730" s="2" t="s">
        <v>54</v>
      </c>
      <c r="D1730" s="2" t="s">
        <v>41</v>
      </c>
      <c r="E1730" s="2" t="s">
        <v>42</v>
      </c>
      <c r="F1730" s="2" t="s">
        <v>43</v>
      </c>
      <c r="G1730" s="2" t="s">
        <v>55</v>
      </c>
      <c r="H1730">
        <v>1</v>
      </c>
      <c r="I1730">
        <v>3</v>
      </c>
      <c r="J1730">
        <v>799</v>
      </c>
      <c r="K1730">
        <v>0</v>
      </c>
      <c r="L1730">
        <v>520</v>
      </c>
      <c r="M1730">
        <v>2397</v>
      </c>
      <c r="N1730">
        <v>2397</v>
      </c>
      <c r="O1730">
        <v>1560</v>
      </c>
      <c r="P1730">
        <v>837</v>
      </c>
    </row>
    <row r="1731" spans="1:16" x14ac:dyDescent="0.3">
      <c r="A1731" s="1">
        <v>45992</v>
      </c>
      <c r="B1731" s="2" t="s">
        <v>39</v>
      </c>
      <c r="C1731" s="2" t="s">
        <v>54</v>
      </c>
      <c r="D1731" s="2" t="s">
        <v>50</v>
      </c>
      <c r="E1731" s="2" t="s">
        <v>42</v>
      </c>
      <c r="F1731" s="2" t="s">
        <v>43</v>
      </c>
      <c r="G1731" s="2" t="s">
        <v>178</v>
      </c>
      <c r="H1731">
        <v>1</v>
      </c>
      <c r="I1731">
        <v>3</v>
      </c>
      <c r="J1731">
        <v>640.91999999999996</v>
      </c>
      <c r="K1731">
        <v>0.05</v>
      </c>
      <c r="L1731">
        <v>395</v>
      </c>
      <c r="M1731">
        <v>1922.7599999999998</v>
      </c>
      <c r="N1731">
        <v>1826.6219999999996</v>
      </c>
      <c r="O1731">
        <v>1185</v>
      </c>
      <c r="P1731">
        <v>641.62199999999962</v>
      </c>
    </row>
    <row r="1732" spans="1:16" x14ac:dyDescent="0.3">
      <c r="A1732" s="1">
        <v>45992</v>
      </c>
      <c r="B1732" s="2" t="s">
        <v>39</v>
      </c>
      <c r="C1732" s="2" t="s">
        <v>78</v>
      </c>
      <c r="D1732" s="2" t="s">
        <v>46</v>
      </c>
      <c r="E1732" s="2" t="s">
        <v>42</v>
      </c>
      <c r="F1732" s="2" t="s">
        <v>48</v>
      </c>
      <c r="G1732" s="2" t="s">
        <v>79</v>
      </c>
      <c r="H1732">
        <v>1</v>
      </c>
      <c r="I1732">
        <v>2</v>
      </c>
      <c r="J1732">
        <v>134.05000000000001</v>
      </c>
      <c r="K1732">
        <v>0.15</v>
      </c>
      <c r="L1732">
        <v>63</v>
      </c>
      <c r="M1732">
        <v>268.10000000000002</v>
      </c>
      <c r="N1732">
        <v>227.88500000000002</v>
      </c>
      <c r="O1732">
        <v>126</v>
      </c>
      <c r="P1732">
        <v>101.88500000000002</v>
      </c>
    </row>
    <row r="1733" spans="1:16" x14ac:dyDescent="0.3">
      <c r="A1733" s="1">
        <v>45992</v>
      </c>
      <c r="B1733" s="2" t="s">
        <v>39</v>
      </c>
      <c r="C1733" s="2" t="s">
        <v>88</v>
      </c>
      <c r="D1733" s="2" t="s">
        <v>50</v>
      </c>
      <c r="E1733" s="2" t="s">
        <v>47</v>
      </c>
      <c r="F1733" s="2" t="s">
        <v>43</v>
      </c>
      <c r="G1733" s="2" t="s">
        <v>140</v>
      </c>
      <c r="H1733">
        <v>1</v>
      </c>
      <c r="I1733">
        <v>4</v>
      </c>
      <c r="J1733">
        <v>861.51</v>
      </c>
      <c r="K1733">
        <v>0.08</v>
      </c>
      <c r="L1733">
        <v>520</v>
      </c>
      <c r="M1733">
        <v>3446.04</v>
      </c>
      <c r="N1733">
        <v>3170.3568</v>
      </c>
      <c r="O1733">
        <v>2080</v>
      </c>
      <c r="P1733">
        <v>1090.3568</v>
      </c>
    </row>
    <row r="1734" spans="1:16" x14ac:dyDescent="0.3">
      <c r="A1734" s="1">
        <v>45992</v>
      </c>
      <c r="B1734" s="2" t="s">
        <v>39</v>
      </c>
      <c r="C1734" s="2" t="s">
        <v>88</v>
      </c>
      <c r="D1734" s="2" t="s">
        <v>50</v>
      </c>
      <c r="E1734" s="2" t="s">
        <v>47</v>
      </c>
      <c r="F1734" s="2" t="s">
        <v>48</v>
      </c>
      <c r="G1734" s="2" t="s">
        <v>140</v>
      </c>
      <c r="H1734">
        <v>1</v>
      </c>
      <c r="I1734">
        <v>1</v>
      </c>
      <c r="J1734">
        <v>97.76</v>
      </c>
      <c r="K1734">
        <v>0</v>
      </c>
      <c r="L1734">
        <v>39</v>
      </c>
      <c r="M1734">
        <v>97.76</v>
      </c>
      <c r="N1734">
        <v>97.76</v>
      </c>
      <c r="O1734">
        <v>39</v>
      </c>
      <c r="P1734">
        <v>58.760000000000005</v>
      </c>
    </row>
    <row r="1735" spans="1:16" x14ac:dyDescent="0.3">
      <c r="A1735" s="1">
        <v>45992</v>
      </c>
      <c r="B1735" s="2" t="s">
        <v>39</v>
      </c>
      <c r="C1735" s="2" t="s">
        <v>40</v>
      </c>
      <c r="D1735" s="2" t="s">
        <v>41</v>
      </c>
      <c r="E1735" s="2" t="s">
        <v>42</v>
      </c>
      <c r="F1735" s="2" t="s">
        <v>48</v>
      </c>
      <c r="G1735" s="2" t="s">
        <v>189</v>
      </c>
      <c r="H1735">
        <v>1</v>
      </c>
      <c r="I1735">
        <v>4</v>
      </c>
      <c r="J1735">
        <v>133.16</v>
      </c>
      <c r="K1735">
        <v>0</v>
      </c>
      <c r="L1735">
        <v>63</v>
      </c>
      <c r="M1735">
        <v>532.64</v>
      </c>
      <c r="N1735">
        <v>532.64</v>
      </c>
      <c r="O1735">
        <v>252</v>
      </c>
      <c r="P1735">
        <v>280.64</v>
      </c>
    </row>
    <row r="1736" spans="1:16" x14ac:dyDescent="0.3">
      <c r="A1736" s="1">
        <v>45992</v>
      </c>
      <c r="B1736" s="2" t="s">
        <v>39</v>
      </c>
      <c r="C1736" s="2" t="s">
        <v>88</v>
      </c>
      <c r="D1736" s="2" t="s">
        <v>50</v>
      </c>
      <c r="E1736" s="2" t="s">
        <v>42</v>
      </c>
      <c r="F1736" s="2" t="s">
        <v>48</v>
      </c>
      <c r="G1736" s="2" t="s">
        <v>185</v>
      </c>
      <c r="H1736">
        <v>2</v>
      </c>
      <c r="I1736">
        <v>8</v>
      </c>
      <c r="J1736">
        <v>73.60499999999999</v>
      </c>
      <c r="K1736">
        <v>0.11</v>
      </c>
      <c r="L1736">
        <v>31</v>
      </c>
      <c r="M1736">
        <v>588.83999999999992</v>
      </c>
      <c r="N1736">
        <v>524.21439999999996</v>
      </c>
      <c r="O1736">
        <v>248</v>
      </c>
      <c r="P1736">
        <v>276.21439999999996</v>
      </c>
    </row>
    <row r="1737" spans="1:16" x14ac:dyDescent="0.3">
      <c r="A1737" s="1">
        <v>45992</v>
      </c>
      <c r="B1737" s="2" t="s">
        <v>83</v>
      </c>
      <c r="C1737" s="2" t="s">
        <v>84</v>
      </c>
      <c r="D1737" s="2" t="s">
        <v>46</v>
      </c>
      <c r="E1737" s="2" t="s">
        <v>42</v>
      </c>
      <c r="F1737" s="2" t="s">
        <v>48</v>
      </c>
      <c r="G1737" s="2" t="s">
        <v>191</v>
      </c>
      <c r="H1737">
        <v>2</v>
      </c>
      <c r="I1737">
        <v>7</v>
      </c>
      <c r="J1737">
        <v>92.990000000000009</v>
      </c>
      <c r="K1737">
        <v>6.5000000000000002E-2</v>
      </c>
      <c r="L1737">
        <v>39</v>
      </c>
      <c r="M1737">
        <v>647.47</v>
      </c>
      <c r="N1737">
        <v>606.41600000000005</v>
      </c>
      <c r="O1737">
        <v>273</v>
      </c>
      <c r="P1737">
        <v>333.41600000000005</v>
      </c>
    </row>
    <row r="1738" spans="1:16" x14ac:dyDescent="0.3">
      <c r="A1738" s="1">
        <v>45992</v>
      </c>
      <c r="B1738" s="2" t="s">
        <v>83</v>
      </c>
      <c r="C1738" s="2" t="s">
        <v>84</v>
      </c>
      <c r="D1738" s="2" t="s">
        <v>50</v>
      </c>
      <c r="E1738" s="2" t="s">
        <v>51</v>
      </c>
      <c r="F1738" s="2" t="s">
        <v>43</v>
      </c>
      <c r="G1738" s="2" t="s">
        <v>85</v>
      </c>
      <c r="H1738">
        <v>1</v>
      </c>
      <c r="I1738">
        <v>9</v>
      </c>
      <c r="J1738">
        <v>156.30000000000001</v>
      </c>
      <c r="K1738">
        <v>0.1</v>
      </c>
      <c r="L1738">
        <v>86</v>
      </c>
      <c r="M1738">
        <v>1406.7</v>
      </c>
      <c r="N1738">
        <v>1266.03</v>
      </c>
      <c r="O1738">
        <v>774</v>
      </c>
      <c r="P1738">
        <v>492.03</v>
      </c>
    </row>
    <row r="1739" spans="1:16" x14ac:dyDescent="0.3">
      <c r="A1739" s="1">
        <v>45992</v>
      </c>
      <c r="B1739" s="2" t="s">
        <v>39</v>
      </c>
      <c r="C1739" s="2" t="s">
        <v>54</v>
      </c>
      <c r="D1739" s="2" t="s">
        <v>41</v>
      </c>
      <c r="E1739" s="2" t="s">
        <v>42</v>
      </c>
      <c r="F1739" s="2" t="s">
        <v>43</v>
      </c>
      <c r="G1739" s="2" t="s">
        <v>131</v>
      </c>
      <c r="H1739">
        <v>1</v>
      </c>
      <c r="I1739">
        <v>3</v>
      </c>
      <c r="J1739">
        <v>811.58</v>
      </c>
      <c r="K1739">
        <v>0.05</v>
      </c>
      <c r="L1739">
        <v>520</v>
      </c>
      <c r="M1739">
        <v>2434.7400000000002</v>
      </c>
      <c r="N1739">
        <v>2313.0030000000002</v>
      </c>
      <c r="O1739">
        <v>1560</v>
      </c>
      <c r="P1739">
        <v>753.00300000000016</v>
      </c>
    </row>
    <row r="1740" spans="1:16" x14ac:dyDescent="0.3">
      <c r="A1740" s="1">
        <v>45992</v>
      </c>
      <c r="B1740" s="2" t="s">
        <v>75</v>
      </c>
      <c r="C1740" s="2" t="s">
        <v>76</v>
      </c>
      <c r="D1740" s="2" t="s">
        <v>46</v>
      </c>
      <c r="E1740" s="2" t="s">
        <v>51</v>
      </c>
      <c r="F1740" s="2" t="s">
        <v>43</v>
      </c>
      <c r="G1740" s="2" t="s">
        <v>77</v>
      </c>
      <c r="H1740">
        <v>2</v>
      </c>
      <c r="I1740">
        <v>16</v>
      </c>
      <c r="J1740">
        <v>420.94499999999999</v>
      </c>
      <c r="K1740">
        <v>7.5000000000000011E-2</v>
      </c>
      <c r="L1740">
        <v>288.5</v>
      </c>
      <c r="M1740">
        <v>8001.7999999999993</v>
      </c>
      <c r="N1740">
        <v>7254.1419999999998</v>
      </c>
      <c r="O1740">
        <v>5468</v>
      </c>
      <c r="P1740">
        <v>1786.1420000000003</v>
      </c>
    </row>
    <row r="1741" spans="1:16" x14ac:dyDescent="0.3">
      <c r="A1741" s="1">
        <v>45992</v>
      </c>
      <c r="B1741" s="2" t="s">
        <v>39</v>
      </c>
      <c r="C1741" s="2" t="s">
        <v>88</v>
      </c>
      <c r="D1741" s="2" t="s">
        <v>50</v>
      </c>
      <c r="E1741" s="2" t="s">
        <v>42</v>
      </c>
      <c r="F1741" s="2" t="s">
        <v>43</v>
      </c>
      <c r="G1741" s="2" t="s">
        <v>125</v>
      </c>
      <c r="H1741">
        <v>1</v>
      </c>
      <c r="I1741">
        <v>3</v>
      </c>
      <c r="J1741">
        <v>802.34</v>
      </c>
      <c r="K1741">
        <v>0.12</v>
      </c>
      <c r="L1741">
        <v>520</v>
      </c>
      <c r="M1741">
        <v>2407.02</v>
      </c>
      <c r="N1741">
        <v>2118.1776</v>
      </c>
      <c r="O1741">
        <v>1560</v>
      </c>
      <c r="P1741">
        <v>558.17759999999998</v>
      </c>
    </row>
    <row r="1742" spans="1:16" x14ac:dyDescent="0.3">
      <c r="A1742" s="1">
        <v>45992</v>
      </c>
      <c r="B1742" s="2" t="s">
        <v>39</v>
      </c>
      <c r="C1742" s="2" t="s">
        <v>92</v>
      </c>
      <c r="D1742" s="2" t="s">
        <v>41</v>
      </c>
      <c r="E1742" s="2" t="s">
        <v>42</v>
      </c>
      <c r="F1742" s="2" t="s">
        <v>48</v>
      </c>
      <c r="G1742" s="2" t="s">
        <v>225</v>
      </c>
      <c r="H1742">
        <v>2</v>
      </c>
      <c r="I1742">
        <v>8</v>
      </c>
      <c r="J1742">
        <v>106.72500000000001</v>
      </c>
      <c r="K1742">
        <v>2.5000000000000001E-2</v>
      </c>
      <c r="L1742">
        <v>47</v>
      </c>
      <c r="M1742">
        <v>853.80000000000007</v>
      </c>
      <c r="N1742">
        <v>825.69</v>
      </c>
      <c r="O1742">
        <v>376</v>
      </c>
      <c r="P1742">
        <v>449.69000000000005</v>
      </c>
    </row>
    <row r="1743" spans="1:16" x14ac:dyDescent="0.3">
      <c r="A1743" s="1">
        <v>45992</v>
      </c>
      <c r="B1743" s="2" t="s">
        <v>39</v>
      </c>
      <c r="C1743" s="2" t="s">
        <v>92</v>
      </c>
      <c r="D1743" s="2" t="s">
        <v>41</v>
      </c>
      <c r="E1743" s="2" t="s">
        <v>42</v>
      </c>
      <c r="F1743" s="2" t="s">
        <v>43</v>
      </c>
      <c r="G1743" s="2" t="s">
        <v>225</v>
      </c>
      <c r="H1743">
        <v>1</v>
      </c>
      <c r="I1743">
        <v>3</v>
      </c>
      <c r="J1743">
        <v>300.01</v>
      </c>
      <c r="K1743">
        <v>0.05</v>
      </c>
      <c r="L1743">
        <v>182</v>
      </c>
      <c r="M1743">
        <v>900.03</v>
      </c>
      <c r="N1743">
        <v>855.02849999999989</v>
      </c>
      <c r="O1743">
        <v>546</v>
      </c>
      <c r="P1743">
        <v>309.02849999999989</v>
      </c>
    </row>
    <row r="1744" spans="1:16" x14ac:dyDescent="0.3">
      <c r="A1744" s="1">
        <v>45992</v>
      </c>
      <c r="B1744" s="2" t="s">
        <v>65</v>
      </c>
      <c r="C1744" s="2" t="s">
        <v>66</v>
      </c>
      <c r="D1744" s="2" t="s">
        <v>50</v>
      </c>
      <c r="E1744" s="2" t="s">
        <v>42</v>
      </c>
      <c r="F1744" s="2" t="s">
        <v>43</v>
      </c>
      <c r="G1744" s="2" t="s">
        <v>220</v>
      </c>
      <c r="H1744">
        <v>1</v>
      </c>
      <c r="I1744">
        <v>1</v>
      </c>
      <c r="J1744">
        <v>630.98</v>
      </c>
      <c r="K1744">
        <v>0.05</v>
      </c>
      <c r="L1744">
        <v>395</v>
      </c>
      <c r="M1744">
        <v>630.98</v>
      </c>
      <c r="N1744">
        <v>599.43100000000004</v>
      </c>
      <c r="O1744">
        <v>395</v>
      </c>
      <c r="P1744">
        <v>204.43100000000004</v>
      </c>
    </row>
    <row r="1745" spans="1:16" x14ac:dyDescent="0.3">
      <c r="A1745" s="1">
        <v>45992</v>
      </c>
      <c r="B1745" s="2" t="s">
        <v>65</v>
      </c>
      <c r="C1745" s="2" t="s">
        <v>66</v>
      </c>
      <c r="D1745" s="2" t="s">
        <v>50</v>
      </c>
      <c r="E1745" s="2" t="s">
        <v>42</v>
      </c>
      <c r="F1745" s="2" t="s">
        <v>52</v>
      </c>
      <c r="G1745" s="2" t="s">
        <v>220</v>
      </c>
      <c r="H1745">
        <v>1</v>
      </c>
      <c r="I1745">
        <v>3</v>
      </c>
      <c r="J1745">
        <v>43.92</v>
      </c>
      <c r="K1745">
        <v>0.1</v>
      </c>
      <c r="L1745">
        <v>18</v>
      </c>
      <c r="M1745">
        <v>131.76</v>
      </c>
      <c r="N1745">
        <v>118.58399999999999</v>
      </c>
      <c r="O1745">
        <v>54</v>
      </c>
      <c r="P1745">
        <v>64.583999999999989</v>
      </c>
    </row>
    <row r="1746" spans="1:16" x14ac:dyDescent="0.3">
      <c r="A1746" s="1">
        <v>45992</v>
      </c>
      <c r="B1746" s="2" t="s">
        <v>39</v>
      </c>
      <c r="C1746" s="2" t="s">
        <v>40</v>
      </c>
      <c r="D1746" s="2" t="s">
        <v>41</v>
      </c>
      <c r="E1746" s="2" t="s">
        <v>42</v>
      </c>
      <c r="F1746" s="2" t="s">
        <v>48</v>
      </c>
      <c r="G1746" s="2" t="s">
        <v>180</v>
      </c>
      <c r="H1746">
        <v>1</v>
      </c>
      <c r="I1746">
        <v>4</v>
      </c>
      <c r="J1746">
        <v>70</v>
      </c>
      <c r="K1746">
        <v>0</v>
      </c>
      <c r="L1746">
        <v>31</v>
      </c>
      <c r="M1746">
        <v>280</v>
      </c>
      <c r="N1746">
        <v>280</v>
      </c>
      <c r="O1746">
        <v>124</v>
      </c>
      <c r="P1746">
        <v>156</v>
      </c>
    </row>
    <row r="1747" spans="1:16" x14ac:dyDescent="0.3">
      <c r="A1747" s="1">
        <v>45992</v>
      </c>
      <c r="B1747" s="2" t="s">
        <v>65</v>
      </c>
      <c r="C1747" s="2" t="s">
        <v>66</v>
      </c>
      <c r="D1747" s="2" t="s">
        <v>50</v>
      </c>
      <c r="E1747" s="2" t="s">
        <v>51</v>
      </c>
      <c r="F1747" s="2" t="s">
        <v>43</v>
      </c>
      <c r="G1747" s="2" t="s">
        <v>74</v>
      </c>
      <c r="H1747">
        <v>1</v>
      </c>
      <c r="I1747">
        <v>3</v>
      </c>
      <c r="J1747">
        <v>546.21</v>
      </c>
      <c r="K1747">
        <v>0.1</v>
      </c>
      <c r="L1747">
        <v>395</v>
      </c>
      <c r="M1747">
        <v>1638.63</v>
      </c>
      <c r="N1747">
        <v>1474.7670000000001</v>
      </c>
      <c r="O1747">
        <v>1185</v>
      </c>
      <c r="P1747">
        <v>289.76700000000005</v>
      </c>
    </row>
    <row r="1748" spans="1:16" x14ac:dyDescent="0.3">
      <c r="A1748" s="1">
        <v>45992</v>
      </c>
      <c r="B1748" s="2" t="s">
        <v>39</v>
      </c>
      <c r="C1748" s="2" t="s">
        <v>40</v>
      </c>
      <c r="D1748" s="2" t="s">
        <v>50</v>
      </c>
      <c r="E1748" s="2" t="s">
        <v>47</v>
      </c>
      <c r="F1748" s="2" t="s">
        <v>48</v>
      </c>
      <c r="G1748" s="2" t="s">
        <v>124</v>
      </c>
      <c r="H1748">
        <v>1</v>
      </c>
      <c r="I1748">
        <v>1</v>
      </c>
      <c r="J1748">
        <v>94.49</v>
      </c>
      <c r="K1748">
        <v>0.05</v>
      </c>
      <c r="L1748">
        <v>39</v>
      </c>
      <c r="M1748">
        <v>94.49</v>
      </c>
      <c r="N1748">
        <v>89.765499999999989</v>
      </c>
      <c r="O1748">
        <v>39</v>
      </c>
      <c r="P1748">
        <v>50.765499999999989</v>
      </c>
    </row>
    <row r="1749" spans="1:16" x14ac:dyDescent="0.3">
      <c r="A1749" s="1">
        <v>45992</v>
      </c>
      <c r="B1749" s="2" t="s">
        <v>39</v>
      </c>
      <c r="C1749" s="2" t="s">
        <v>45</v>
      </c>
      <c r="D1749" s="2" t="s">
        <v>46</v>
      </c>
      <c r="E1749" s="2" t="s">
        <v>42</v>
      </c>
      <c r="F1749" s="2" t="s">
        <v>52</v>
      </c>
      <c r="G1749" s="2" t="s">
        <v>90</v>
      </c>
      <c r="H1749">
        <v>1</v>
      </c>
      <c r="I1749">
        <v>3</v>
      </c>
      <c r="J1749">
        <v>41.8</v>
      </c>
      <c r="K1749">
        <v>0.1</v>
      </c>
      <c r="L1749">
        <v>18</v>
      </c>
      <c r="M1749">
        <v>125.39999999999999</v>
      </c>
      <c r="N1749">
        <v>112.86</v>
      </c>
      <c r="O1749">
        <v>54</v>
      </c>
      <c r="P1749">
        <v>58.86</v>
      </c>
    </row>
    <row r="1750" spans="1:16" x14ac:dyDescent="0.3">
      <c r="A1750" s="1">
        <v>45992</v>
      </c>
      <c r="B1750" s="2" t="s">
        <v>39</v>
      </c>
      <c r="C1750" s="2" t="s">
        <v>45</v>
      </c>
      <c r="D1750" s="2" t="s">
        <v>41</v>
      </c>
      <c r="E1750" s="2" t="s">
        <v>42</v>
      </c>
      <c r="F1750" s="2" t="s">
        <v>52</v>
      </c>
      <c r="G1750" s="2" t="s">
        <v>170</v>
      </c>
      <c r="H1750">
        <v>1</v>
      </c>
      <c r="I1750">
        <v>3</v>
      </c>
      <c r="J1750">
        <v>43.8</v>
      </c>
      <c r="K1750">
        <v>0</v>
      </c>
      <c r="L1750">
        <v>18</v>
      </c>
      <c r="M1750">
        <v>131.39999999999998</v>
      </c>
      <c r="N1750">
        <v>131.39999999999998</v>
      </c>
      <c r="O1750">
        <v>54</v>
      </c>
      <c r="P1750">
        <v>77.399999999999977</v>
      </c>
    </row>
    <row r="1751" spans="1:16" x14ac:dyDescent="0.3">
      <c r="A1751" s="1">
        <v>45992</v>
      </c>
      <c r="B1751" s="2" t="s">
        <v>65</v>
      </c>
      <c r="C1751" s="2" t="s">
        <v>66</v>
      </c>
      <c r="D1751" s="2" t="s">
        <v>41</v>
      </c>
      <c r="E1751" s="2" t="s">
        <v>51</v>
      </c>
      <c r="F1751" s="2" t="s">
        <v>48</v>
      </c>
      <c r="G1751" s="2" t="s">
        <v>176</v>
      </c>
      <c r="H1751">
        <v>1</v>
      </c>
      <c r="I1751">
        <v>15</v>
      </c>
      <c r="J1751">
        <v>86.37</v>
      </c>
      <c r="K1751">
        <v>0.05</v>
      </c>
      <c r="L1751">
        <v>39</v>
      </c>
      <c r="M1751">
        <v>1295.5500000000002</v>
      </c>
      <c r="N1751">
        <v>1230.7725</v>
      </c>
      <c r="O1751">
        <v>585</v>
      </c>
      <c r="P1751">
        <v>645.77250000000004</v>
      </c>
    </row>
    <row r="1752" spans="1:16" x14ac:dyDescent="0.3">
      <c r="A1752" s="1">
        <v>45992</v>
      </c>
      <c r="B1752" s="2" t="s">
        <v>56</v>
      </c>
      <c r="C1752" s="2" t="s">
        <v>62</v>
      </c>
      <c r="D1752" s="2" t="s">
        <v>41</v>
      </c>
      <c r="E1752" s="2" t="s">
        <v>47</v>
      </c>
      <c r="F1752" s="2" t="s">
        <v>43</v>
      </c>
      <c r="G1752" s="2" t="s">
        <v>161</v>
      </c>
      <c r="H1752">
        <v>1</v>
      </c>
      <c r="I1752">
        <v>2</v>
      </c>
      <c r="J1752">
        <v>309.64</v>
      </c>
      <c r="K1752">
        <v>0</v>
      </c>
      <c r="L1752">
        <v>182</v>
      </c>
      <c r="M1752">
        <v>619.28</v>
      </c>
      <c r="N1752">
        <v>619.28</v>
      </c>
      <c r="O1752">
        <v>364</v>
      </c>
      <c r="P1752">
        <v>255.27999999999997</v>
      </c>
    </row>
    <row r="1753" spans="1:16" x14ac:dyDescent="0.3">
      <c r="A1753" s="1">
        <v>45992</v>
      </c>
      <c r="B1753" s="2" t="s">
        <v>83</v>
      </c>
      <c r="C1753" s="2" t="s">
        <v>84</v>
      </c>
      <c r="D1753" s="2" t="s">
        <v>50</v>
      </c>
      <c r="E1753" s="2" t="s">
        <v>51</v>
      </c>
      <c r="F1753" s="2" t="s">
        <v>43</v>
      </c>
      <c r="G1753" s="2" t="s">
        <v>91</v>
      </c>
      <c r="H1753">
        <v>2</v>
      </c>
      <c r="I1753">
        <v>22</v>
      </c>
      <c r="J1753">
        <v>938.2</v>
      </c>
      <c r="K1753">
        <v>0.11</v>
      </c>
      <c r="L1753">
        <v>640</v>
      </c>
      <c r="M1753">
        <v>21272.440000000002</v>
      </c>
      <c r="N1753">
        <v>18860.181400000001</v>
      </c>
      <c r="O1753">
        <v>14560</v>
      </c>
      <c r="P1753">
        <v>4300.1813999999995</v>
      </c>
    </row>
    <row r="1754" spans="1:16" x14ac:dyDescent="0.3">
      <c r="A1754" s="1">
        <v>45992</v>
      </c>
      <c r="B1754" s="2" t="s">
        <v>39</v>
      </c>
      <c r="C1754" s="2" t="s">
        <v>54</v>
      </c>
      <c r="D1754" s="2" t="s">
        <v>41</v>
      </c>
      <c r="E1754" s="2" t="s">
        <v>42</v>
      </c>
      <c r="F1754" s="2" t="s">
        <v>43</v>
      </c>
      <c r="G1754" s="2" t="s">
        <v>138</v>
      </c>
      <c r="H1754">
        <v>1</v>
      </c>
      <c r="I1754">
        <v>2</v>
      </c>
      <c r="J1754">
        <v>613.92999999999995</v>
      </c>
      <c r="K1754">
        <v>0</v>
      </c>
      <c r="L1754">
        <v>395</v>
      </c>
      <c r="M1754">
        <v>1227.8599999999999</v>
      </c>
      <c r="N1754">
        <v>1227.8599999999999</v>
      </c>
      <c r="O1754">
        <v>790</v>
      </c>
      <c r="P1754">
        <v>437.8599999999999</v>
      </c>
    </row>
    <row r="1755" spans="1:16" x14ac:dyDescent="0.3">
      <c r="A1755" s="1">
        <v>45992</v>
      </c>
      <c r="B1755" s="2" t="s">
        <v>39</v>
      </c>
      <c r="C1755" s="2" t="s">
        <v>45</v>
      </c>
      <c r="D1755" s="2" t="s">
        <v>50</v>
      </c>
      <c r="E1755" s="2" t="s">
        <v>47</v>
      </c>
      <c r="F1755" s="2" t="s">
        <v>48</v>
      </c>
      <c r="G1755" s="2" t="s">
        <v>59</v>
      </c>
      <c r="H1755">
        <v>1</v>
      </c>
      <c r="I1755">
        <v>1</v>
      </c>
      <c r="J1755">
        <v>143.02000000000001</v>
      </c>
      <c r="K1755">
        <v>0.1</v>
      </c>
      <c r="L1755">
        <v>63</v>
      </c>
      <c r="M1755">
        <v>143.02000000000001</v>
      </c>
      <c r="N1755">
        <v>128.71800000000002</v>
      </c>
      <c r="O1755">
        <v>63</v>
      </c>
      <c r="P1755">
        <v>65.718000000000018</v>
      </c>
    </row>
    <row r="1756" spans="1:16" x14ac:dyDescent="0.3">
      <c r="A1756" s="1">
        <v>45992</v>
      </c>
      <c r="B1756" s="2" t="s">
        <v>39</v>
      </c>
      <c r="C1756" s="2" t="s">
        <v>40</v>
      </c>
      <c r="D1756" s="2" t="s">
        <v>41</v>
      </c>
      <c r="E1756" s="2" t="s">
        <v>47</v>
      </c>
      <c r="F1756" s="2" t="s">
        <v>43</v>
      </c>
      <c r="G1756" s="2" t="s">
        <v>113</v>
      </c>
      <c r="H1756">
        <v>1</v>
      </c>
      <c r="I1756">
        <v>4</v>
      </c>
      <c r="J1756">
        <v>107.46</v>
      </c>
      <c r="K1756">
        <v>0</v>
      </c>
      <c r="L1756">
        <v>54</v>
      </c>
      <c r="M1756">
        <v>429.84</v>
      </c>
      <c r="N1756">
        <v>429.84</v>
      </c>
      <c r="O1756">
        <v>216</v>
      </c>
      <c r="P1756">
        <v>213.83999999999997</v>
      </c>
    </row>
    <row r="1757" spans="1:16" x14ac:dyDescent="0.3">
      <c r="A1757" s="1">
        <v>45992</v>
      </c>
      <c r="B1757" s="2" t="s">
        <v>39</v>
      </c>
      <c r="C1757" s="2" t="s">
        <v>92</v>
      </c>
      <c r="D1757" s="2" t="s">
        <v>50</v>
      </c>
      <c r="E1757" s="2" t="s">
        <v>42</v>
      </c>
      <c r="F1757" s="2" t="s">
        <v>43</v>
      </c>
      <c r="G1757" s="2" t="s">
        <v>130</v>
      </c>
      <c r="H1757">
        <v>2</v>
      </c>
      <c r="I1757">
        <v>4</v>
      </c>
      <c r="J1757">
        <v>177.66499999999999</v>
      </c>
      <c r="K1757">
        <v>0.09</v>
      </c>
      <c r="L1757">
        <v>86</v>
      </c>
      <c r="M1757">
        <v>710.66</v>
      </c>
      <c r="N1757">
        <v>646.67920000000004</v>
      </c>
      <c r="O1757">
        <v>344</v>
      </c>
      <c r="P1757">
        <v>302.67919999999998</v>
      </c>
    </row>
    <row r="1758" spans="1:16" x14ac:dyDescent="0.3">
      <c r="A1758" s="1">
        <v>45992</v>
      </c>
      <c r="B1758" s="2" t="s">
        <v>39</v>
      </c>
      <c r="C1758" s="2" t="s">
        <v>88</v>
      </c>
      <c r="D1758" s="2" t="s">
        <v>41</v>
      </c>
      <c r="E1758" s="2" t="s">
        <v>47</v>
      </c>
      <c r="F1758" s="2" t="s">
        <v>48</v>
      </c>
      <c r="G1758" s="2" t="s">
        <v>224</v>
      </c>
      <c r="H1758">
        <v>1</v>
      </c>
      <c r="I1758">
        <v>1</v>
      </c>
      <c r="J1758">
        <v>24.42</v>
      </c>
      <c r="K1758">
        <v>0</v>
      </c>
      <c r="L1758">
        <v>8</v>
      </c>
      <c r="M1758">
        <v>24.42</v>
      </c>
      <c r="N1758">
        <v>24.42</v>
      </c>
      <c r="O1758">
        <v>8</v>
      </c>
      <c r="P1758">
        <v>16.420000000000002</v>
      </c>
    </row>
    <row r="1759" spans="1:16" x14ac:dyDescent="0.3">
      <c r="A1759" s="1">
        <v>45992</v>
      </c>
      <c r="B1759" s="2" t="s">
        <v>39</v>
      </c>
      <c r="C1759" s="2" t="s">
        <v>92</v>
      </c>
      <c r="D1759" s="2" t="s">
        <v>46</v>
      </c>
      <c r="E1759" s="2" t="s">
        <v>42</v>
      </c>
      <c r="F1759" s="2" t="s">
        <v>43</v>
      </c>
      <c r="G1759" s="2" t="s">
        <v>169</v>
      </c>
      <c r="H1759">
        <v>1</v>
      </c>
      <c r="I1759">
        <v>1</v>
      </c>
      <c r="J1759">
        <v>172.2</v>
      </c>
      <c r="K1759">
        <v>0.05</v>
      </c>
      <c r="L1759">
        <v>86</v>
      </c>
      <c r="M1759">
        <v>172.2</v>
      </c>
      <c r="N1759">
        <v>163.58999999999997</v>
      </c>
      <c r="O1759">
        <v>86</v>
      </c>
      <c r="P1759">
        <v>77.589999999999975</v>
      </c>
    </row>
    <row r="1760" spans="1:16" x14ac:dyDescent="0.3">
      <c r="A1760" s="1">
        <v>45992</v>
      </c>
      <c r="B1760" s="2" t="s">
        <v>39</v>
      </c>
      <c r="C1760" s="2" t="s">
        <v>92</v>
      </c>
      <c r="D1760" s="2" t="s">
        <v>46</v>
      </c>
      <c r="E1760" s="2" t="s">
        <v>42</v>
      </c>
      <c r="F1760" s="2" t="s">
        <v>48</v>
      </c>
      <c r="G1760" s="2" t="s">
        <v>169</v>
      </c>
      <c r="H1760">
        <v>1</v>
      </c>
      <c r="I1760">
        <v>3</v>
      </c>
      <c r="J1760">
        <v>23.58</v>
      </c>
      <c r="K1760">
        <v>0.05</v>
      </c>
      <c r="L1760">
        <v>8</v>
      </c>
      <c r="M1760">
        <v>70.739999999999995</v>
      </c>
      <c r="N1760">
        <v>67.202999999999989</v>
      </c>
      <c r="O1760">
        <v>24</v>
      </c>
      <c r="P1760">
        <v>43.202999999999989</v>
      </c>
    </row>
    <row r="1761" spans="1:16" x14ac:dyDescent="0.3">
      <c r="A1761" s="1">
        <v>45992</v>
      </c>
      <c r="B1761" s="2" t="s">
        <v>39</v>
      </c>
      <c r="C1761" s="2" t="s">
        <v>92</v>
      </c>
      <c r="D1761" s="2" t="s">
        <v>46</v>
      </c>
      <c r="E1761" s="2" t="s">
        <v>51</v>
      </c>
      <c r="F1761" s="2" t="s">
        <v>43</v>
      </c>
      <c r="G1761" s="2" t="s">
        <v>93</v>
      </c>
      <c r="H1761">
        <v>2</v>
      </c>
      <c r="I1761">
        <v>13</v>
      </c>
      <c r="J1761">
        <v>211.47</v>
      </c>
      <c r="K1761">
        <v>0.11499999999999999</v>
      </c>
      <c r="L1761">
        <v>134</v>
      </c>
      <c r="M1761">
        <v>2977.96</v>
      </c>
      <c r="N1761">
        <v>2577.6619999999998</v>
      </c>
      <c r="O1761">
        <v>1982</v>
      </c>
      <c r="P1761">
        <v>595.66199999999969</v>
      </c>
    </row>
    <row r="1762" spans="1:16" x14ac:dyDescent="0.3">
      <c r="A1762" s="1">
        <v>45992</v>
      </c>
      <c r="B1762" s="2" t="s">
        <v>39</v>
      </c>
      <c r="C1762" s="2" t="s">
        <v>40</v>
      </c>
      <c r="D1762" s="2" t="s">
        <v>41</v>
      </c>
      <c r="E1762" s="2" t="s">
        <v>42</v>
      </c>
      <c r="F1762" s="2" t="s">
        <v>43</v>
      </c>
      <c r="G1762" s="2" t="s">
        <v>189</v>
      </c>
      <c r="H1762">
        <v>2</v>
      </c>
      <c r="I1762">
        <v>6</v>
      </c>
      <c r="J1762">
        <v>553.38</v>
      </c>
      <c r="K1762">
        <v>0</v>
      </c>
      <c r="L1762">
        <v>351</v>
      </c>
      <c r="M1762">
        <v>3320.2799999999997</v>
      </c>
      <c r="N1762">
        <v>3320.2799999999997</v>
      </c>
      <c r="O1762">
        <v>2106</v>
      </c>
      <c r="P1762">
        <v>1214.28</v>
      </c>
    </row>
    <row r="1763" spans="1:16" x14ac:dyDescent="0.3">
      <c r="A1763" s="1">
        <v>45992</v>
      </c>
      <c r="B1763" s="2" t="s">
        <v>39</v>
      </c>
      <c r="C1763" s="2" t="s">
        <v>54</v>
      </c>
      <c r="D1763" s="2" t="s">
        <v>41</v>
      </c>
      <c r="E1763" s="2" t="s">
        <v>47</v>
      </c>
      <c r="F1763" s="2" t="s">
        <v>43</v>
      </c>
      <c r="G1763" s="2" t="s">
        <v>131</v>
      </c>
      <c r="H1763">
        <v>2</v>
      </c>
      <c r="I1763">
        <v>5</v>
      </c>
      <c r="J1763">
        <v>211.10000000000002</v>
      </c>
      <c r="K1763">
        <v>2.5000000000000001E-2</v>
      </c>
      <c r="L1763">
        <v>118</v>
      </c>
      <c r="M1763">
        <v>1154.06</v>
      </c>
      <c r="N1763">
        <v>1107.6109999999999</v>
      </c>
      <c r="O1763">
        <v>654</v>
      </c>
      <c r="P1763">
        <v>453.61099999999999</v>
      </c>
    </row>
    <row r="1764" spans="1:16" x14ac:dyDescent="0.3">
      <c r="A1764" s="1">
        <v>45992</v>
      </c>
      <c r="B1764" s="2" t="s">
        <v>75</v>
      </c>
      <c r="C1764" s="2" t="s">
        <v>101</v>
      </c>
      <c r="D1764" s="2" t="s">
        <v>46</v>
      </c>
      <c r="E1764" s="2" t="s">
        <v>42</v>
      </c>
      <c r="F1764" s="2" t="s">
        <v>43</v>
      </c>
      <c r="G1764" s="2" t="s">
        <v>102</v>
      </c>
      <c r="H1764">
        <v>1</v>
      </c>
      <c r="I1764">
        <v>2</v>
      </c>
      <c r="J1764">
        <v>105.33</v>
      </c>
      <c r="K1764">
        <v>0.12</v>
      </c>
      <c r="L1764">
        <v>54</v>
      </c>
      <c r="M1764">
        <v>210.66</v>
      </c>
      <c r="N1764">
        <v>185.38079999999999</v>
      </c>
      <c r="O1764">
        <v>108</v>
      </c>
      <c r="P1764">
        <v>77.380799999999994</v>
      </c>
    </row>
    <row r="1765" spans="1:16" x14ac:dyDescent="0.3">
      <c r="A1765" s="1">
        <v>45992</v>
      </c>
      <c r="B1765" s="2" t="s">
        <v>75</v>
      </c>
      <c r="C1765" s="2" t="s">
        <v>101</v>
      </c>
      <c r="D1765" s="2" t="s">
        <v>46</v>
      </c>
      <c r="E1765" s="2" t="s">
        <v>42</v>
      </c>
      <c r="F1765" s="2" t="s">
        <v>48</v>
      </c>
      <c r="G1765" s="2" t="s">
        <v>102</v>
      </c>
      <c r="H1765">
        <v>1</v>
      </c>
      <c r="I1765">
        <v>3</v>
      </c>
      <c r="J1765">
        <v>24.11</v>
      </c>
      <c r="K1765">
        <v>0.08</v>
      </c>
      <c r="L1765">
        <v>8</v>
      </c>
      <c r="M1765">
        <v>72.33</v>
      </c>
      <c r="N1765">
        <v>66.543599999999998</v>
      </c>
      <c r="O1765">
        <v>24</v>
      </c>
      <c r="P1765">
        <v>42.543599999999998</v>
      </c>
    </row>
    <row r="1766" spans="1:16" x14ac:dyDescent="0.3">
      <c r="A1766" s="1">
        <v>45992</v>
      </c>
      <c r="B1766" s="2" t="s">
        <v>56</v>
      </c>
      <c r="C1766" s="2" t="s">
        <v>57</v>
      </c>
      <c r="D1766" s="2" t="s">
        <v>50</v>
      </c>
      <c r="E1766" s="2" t="s">
        <v>47</v>
      </c>
      <c r="F1766" s="2" t="s">
        <v>52</v>
      </c>
      <c r="G1766" s="2" t="s">
        <v>160</v>
      </c>
      <c r="H1766">
        <v>1</v>
      </c>
      <c r="I1766">
        <v>3</v>
      </c>
      <c r="J1766">
        <v>219.68</v>
      </c>
      <c r="K1766">
        <v>0.05</v>
      </c>
      <c r="L1766">
        <v>124</v>
      </c>
      <c r="M1766">
        <v>659.04</v>
      </c>
      <c r="N1766">
        <v>626.08799999999997</v>
      </c>
      <c r="O1766">
        <v>372</v>
      </c>
      <c r="P1766">
        <v>254.08799999999997</v>
      </c>
    </row>
    <row r="1767" spans="1:16" x14ac:dyDescent="0.3">
      <c r="A1767" s="1">
        <v>45992</v>
      </c>
      <c r="B1767" s="2" t="s">
        <v>39</v>
      </c>
      <c r="C1767" s="2" t="s">
        <v>54</v>
      </c>
      <c r="D1767" s="2" t="s">
        <v>50</v>
      </c>
      <c r="E1767" s="2" t="s">
        <v>42</v>
      </c>
      <c r="F1767" s="2" t="s">
        <v>48</v>
      </c>
      <c r="G1767" s="2" t="s">
        <v>178</v>
      </c>
      <c r="H1767">
        <v>1</v>
      </c>
      <c r="I1767">
        <v>2</v>
      </c>
      <c r="J1767">
        <v>139.08000000000001</v>
      </c>
      <c r="K1767">
        <v>0.1</v>
      </c>
      <c r="L1767">
        <v>63</v>
      </c>
      <c r="M1767">
        <v>278.16000000000003</v>
      </c>
      <c r="N1767">
        <v>250.34400000000002</v>
      </c>
      <c r="O1767">
        <v>126</v>
      </c>
      <c r="P1767">
        <v>124.34400000000002</v>
      </c>
    </row>
    <row r="1768" spans="1:16" x14ac:dyDescent="0.3">
      <c r="A1768" s="1">
        <v>45992</v>
      </c>
      <c r="B1768" s="2" t="s">
        <v>39</v>
      </c>
      <c r="C1768" s="2" t="s">
        <v>45</v>
      </c>
      <c r="D1768" s="2" t="s">
        <v>41</v>
      </c>
      <c r="E1768" s="2" t="s">
        <v>42</v>
      </c>
      <c r="F1768" s="2" t="s">
        <v>48</v>
      </c>
      <c r="G1768" s="2" t="s">
        <v>94</v>
      </c>
      <c r="H1768">
        <v>1</v>
      </c>
      <c r="I1768">
        <v>2</v>
      </c>
      <c r="J1768">
        <v>138.16</v>
      </c>
      <c r="K1768">
        <v>0</v>
      </c>
      <c r="L1768">
        <v>63</v>
      </c>
      <c r="M1768">
        <v>276.32</v>
      </c>
      <c r="N1768">
        <v>276.32</v>
      </c>
      <c r="O1768">
        <v>126</v>
      </c>
      <c r="P1768">
        <v>150.32</v>
      </c>
    </row>
    <row r="1769" spans="1:16" x14ac:dyDescent="0.3">
      <c r="A1769" s="1">
        <v>45992</v>
      </c>
      <c r="B1769" s="2" t="s">
        <v>83</v>
      </c>
      <c r="C1769" s="2" t="s">
        <v>84</v>
      </c>
      <c r="D1769" s="2" t="s">
        <v>50</v>
      </c>
      <c r="E1769" s="2" t="s">
        <v>47</v>
      </c>
      <c r="F1769" s="2" t="s">
        <v>43</v>
      </c>
      <c r="G1769" s="2" t="s">
        <v>91</v>
      </c>
      <c r="H1769">
        <v>2</v>
      </c>
      <c r="I1769">
        <v>5</v>
      </c>
      <c r="J1769">
        <v>632.63000000000011</v>
      </c>
      <c r="K1769">
        <v>7.5000000000000011E-2</v>
      </c>
      <c r="L1769">
        <v>395</v>
      </c>
      <c r="M1769">
        <v>3162.71</v>
      </c>
      <c r="N1769">
        <v>2941.2674999999999</v>
      </c>
      <c r="O1769">
        <v>1975</v>
      </c>
      <c r="P1769">
        <v>966.26750000000015</v>
      </c>
    </row>
    <row r="1770" spans="1:16" x14ac:dyDescent="0.3">
      <c r="A1770" s="1">
        <v>45992</v>
      </c>
      <c r="B1770" s="2" t="s">
        <v>83</v>
      </c>
      <c r="C1770" s="2" t="s">
        <v>84</v>
      </c>
      <c r="D1770" s="2" t="s">
        <v>50</v>
      </c>
      <c r="E1770" s="2" t="s">
        <v>47</v>
      </c>
      <c r="F1770" s="2" t="s">
        <v>48</v>
      </c>
      <c r="G1770" s="2" t="s">
        <v>91</v>
      </c>
      <c r="H1770">
        <v>1</v>
      </c>
      <c r="I1770">
        <v>3</v>
      </c>
      <c r="J1770">
        <v>98.35</v>
      </c>
      <c r="K1770">
        <v>0.1</v>
      </c>
      <c r="L1770">
        <v>39</v>
      </c>
      <c r="M1770">
        <v>295.04999999999995</v>
      </c>
      <c r="N1770">
        <v>265.54499999999996</v>
      </c>
      <c r="O1770">
        <v>117</v>
      </c>
      <c r="P1770">
        <v>148.54499999999996</v>
      </c>
    </row>
    <row r="1771" spans="1:16" x14ac:dyDescent="0.3">
      <c r="A1771" s="1">
        <v>45992</v>
      </c>
      <c r="B1771" s="2" t="s">
        <v>39</v>
      </c>
      <c r="C1771" s="2" t="s">
        <v>40</v>
      </c>
      <c r="D1771" s="2" t="s">
        <v>41</v>
      </c>
      <c r="E1771" s="2" t="s">
        <v>47</v>
      </c>
      <c r="F1771" s="2" t="s">
        <v>48</v>
      </c>
      <c r="G1771" s="2" t="s">
        <v>144</v>
      </c>
      <c r="H1771">
        <v>1</v>
      </c>
      <c r="I1771">
        <v>2</v>
      </c>
      <c r="J1771">
        <v>137.9</v>
      </c>
      <c r="K1771">
        <v>0.05</v>
      </c>
      <c r="L1771">
        <v>63</v>
      </c>
      <c r="M1771">
        <v>275.8</v>
      </c>
      <c r="N1771">
        <v>262.01</v>
      </c>
      <c r="O1771">
        <v>126</v>
      </c>
      <c r="P1771">
        <v>136.01</v>
      </c>
    </row>
    <row r="1772" spans="1:16" x14ac:dyDescent="0.3">
      <c r="A1772" s="1">
        <v>45992</v>
      </c>
      <c r="B1772" s="2" t="s">
        <v>83</v>
      </c>
      <c r="C1772" s="2" t="s">
        <v>164</v>
      </c>
      <c r="D1772" s="2" t="s">
        <v>50</v>
      </c>
      <c r="E1772" s="2" t="s">
        <v>47</v>
      </c>
      <c r="F1772" s="2" t="s">
        <v>52</v>
      </c>
      <c r="G1772" s="2" t="s">
        <v>211</v>
      </c>
      <c r="H1772">
        <v>1</v>
      </c>
      <c r="I1772">
        <v>1</v>
      </c>
      <c r="J1772">
        <v>43.84</v>
      </c>
      <c r="K1772">
        <v>0.05</v>
      </c>
      <c r="L1772">
        <v>18</v>
      </c>
      <c r="M1772">
        <v>43.84</v>
      </c>
      <c r="N1772">
        <v>41.648000000000003</v>
      </c>
      <c r="O1772">
        <v>18</v>
      </c>
      <c r="P1772">
        <v>23.648000000000003</v>
      </c>
    </row>
    <row r="1773" spans="1:16" x14ac:dyDescent="0.3">
      <c r="A1773" s="1">
        <v>45992</v>
      </c>
      <c r="B1773" s="2" t="s">
        <v>39</v>
      </c>
      <c r="C1773" s="2" t="s">
        <v>54</v>
      </c>
      <c r="D1773" s="2" t="s">
        <v>41</v>
      </c>
      <c r="E1773" s="2" t="s">
        <v>51</v>
      </c>
      <c r="F1773" s="2" t="s">
        <v>43</v>
      </c>
      <c r="G1773" s="2" t="s">
        <v>131</v>
      </c>
      <c r="H1773">
        <v>1</v>
      </c>
      <c r="I1773">
        <v>7</v>
      </c>
      <c r="J1773">
        <v>156.16</v>
      </c>
      <c r="K1773">
        <v>0.05</v>
      </c>
      <c r="L1773">
        <v>86</v>
      </c>
      <c r="M1773">
        <v>1093.1199999999999</v>
      </c>
      <c r="N1773">
        <v>1038.4639999999999</v>
      </c>
      <c r="O1773">
        <v>602</v>
      </c>
      <c r="P1773">
        <v>436.46399999999994</v>
      </c>
    </row>
    <row r="1774" spans="1:16" x14ac:dyDescent="0.3">
      <c r="A1774" s="1">
        <v>45992</v>
      </c>
      <c r="B1774" s="2" t="s">
        <v>39</v>
      </c>
      <c r="C1774" s="2" t="s">
        <v>40</v>
      </c>
      <c r="D1774" s="2" t="s">
        <v>50</v>
      </c>
      <c r="E1774" s="2" t="s">
        <v>47</v>
      </c>
      <c r="F1774" s="2" t="s">
        <v>43</v>
      </c>
      <c r="G1774" s="2" t="s">
        <v>82</v>
      </c>
      <c r="H1774">
        <v>1</v>
      </c>
      <c r="I1774">
        <v>2</v>
      </c>
      <c r="J1774">
        <v>113.23</v>
      </c>
      <c r="K1774">
        <v>0.1</v>
      </c>
      <c r="L1774">
        <v>54</v>
      </c>
      <c r="M1774">
        <v>226.46</v>
      </c>
      <c r="N1774">
        <v>203.81400000000002</v>
      </c>
      <c r="O1774">
        <v>108</v>
      </c>
      <c r="P1774">
        <v>95.814000000000021</v>
      </c>
    </row>
    <row r="1775" spans="1:16" x14ac:dyDescent="0.3">
      <c r="A1775" s="1">
        <v>45992</v>
      </c>
      <c r="B1775" s="2" t="s">
        <v>39</v>
      </c>
      <c r="C1775" s="2" t="s">
        <v>152</v>
      </c>
      <c r="D1775" s="2" t="s">
        <v>41</v>
      </c>
      <c r="E1775" s="2" t="s">
        <v>51</v>
      </c>
      <c r="F1775" s="2" t="s">
        <v>52</v>
      </c>
      <c r="G1775" s="2" t="s">
        <v>153</v>
      </c>
      <c r="H1775">
        <v>1</v>
      </c>
      <c r="I1775">
        <v>5</v>
      </c>
      <c r="J1775">
        <v>191.32</v>
      </c>
      <c r="K1775">
        <v>0</v>
      </c>
      <c r="L1775">
        <v>124</v>
      </c>
      <c r="M1775">
        <v>956.59999999999991</v>
      </c>
      <c r="N1775">
        <v>956.59999999999991</v>
      </c>
      <c r="O1775">
        <v>620</v>
      </c>
      <c r="P1775">
        <v>336.59999999999991</v>
      </c>
    </row>
    <row r="1776" spans="1:16" x14ac:dyDescent="0.3">
      <c r="A1776" s="1">
        <v>45992</v>
      </c>
      <c r="B1776" s="2" t="s">
        <v>39</v>
      </c>
      <c r="C1776" s="2" t="s">
        <v>152</v>
      </c>
      <c r="D1776" s="2" t="s">
        <v>41</v>
      </c>
      <c r="E1776" s="2" t="s">
        <v>51</v>
      </c>
      <c r="F1776" s="2" t="s">
        <v>43</v>
      </c>
      <c r="G1776" s="2" t="s">
        <v>153</v>
      </c>
      <c r="H1776">
        <v>1</v>
      </c>
      <c r="I1776">
        <v>8</v>
      </c>
      <c r="J1776">
        <v>163</v>
      </c>
      <c r="K1776">
        <v>0</v>
      </c>
      <c r="L1776">
        <v>86</v>
      </c>
      <c r="M1776">
        <v>1304</v>
      </c>
      <c r="N1776">
        <v>1304</v>
      </c>
      <c r="O1776">
        <v>688</v>
      </c>
      <c r="P1776">
        <v>616</v>
      </c>
    </row>
    <row r="1777" spans="1:16" x14ac:dyDescent="0.3">
      <c r="A1777" s="1">
        <v>45992</v>
      </c>
      <c r="B1777" s="2" t="s">
        <v>56</v>
      </c>
      <c r="C1777" s="2" t="s">
        <v>57</v>
      </c>
      <c r="D1777" s="2" t="s">
        <v>50</v>
      </c>
      <c r="E1777" s="2" t="s">
        <v>51</v>
      </c>
      <c r="F1777" s="2" t="s">
        <v>48</v>
      </c>
      <c r="G1777" s="2" t="s">
        <v>147</v>
      </c>
      <c r="H1777">
        <v>1</v>
      </c>
      <c r="I1777">
        <v>13</v>
      </c>
      <c r="J1777">
        <v>87.03</v>
      </c>
      <c r="K1777">
        <v>0.1</v>
      </c>
      <c r="L1777">
        <v>39</v>
      </c>
      <c r="M1777">
        <v>1131.3900000000001</v>
      </c>
      <c r="N1777">
        <v>1018.2510000000001</v>
      </c>
      <c r="O1777">
        <v>507</v>
      </c>
      <c r="P1777">
        <v>511.25100000000009</v>
      </c>
    </row>
    <row r="1778" spans="1:16" x14ac:dyDescent="0.3">
      <c r="A1778" s="1">
        <v>45992</v>
      </c>
      <c r="B1778" s="2" t="s">
        <v>83</v>
      </c>
      <c r="C1778" s="2" t="s">
        <v>126</v>
      </c>
      <c r="D1778" s="2" t="s">
        <v>46</v>
      </c>
      <c r="E1778" s="2" t="s">
        <v>42</v>
      </c>
      <c r="F1778" s="2" t="s">
        <v>43</v>
      </c>
      <c r="G1778" s="2" t="s">
        <v>127</v>
      </c>
      <c r="H1778">
        <v>1</v>
      </c>
      <c r="I1778">
        <v>3</v>
      </c>
      <c r="J1778">
        <v>173.05</v>
      </c>
      <c r="K1778">
        <v>0.1</v>
      </c>
      <c r="L1778">
        <v>86</v>
      </c>
      <c r="M1778">
        <v>519.15000000000009</v>
      </c>
      <c r="N1778">
        <v>467.23500000000007</v>
      </c>
      <c r="O1778">
        <v>258</v>
      </c>
      <c r="P1778">
        <v>209.23500000000007</v>
      </c>
    </row>
    <row r="1779" spans="1:16" x14ac:dyDescent="0.3">
      <c r="A1779" s="1">
        <v>45992</v>
      </c>
      <c r="B1779" s="2" t="s">
        <v>65</v>
      </c>
      <c r="C1779" s="2" t="s">
        <v>66</v>
      </c>
      <c r="D1779" s="2" t="s">
        <v>50</v>
      </c>
      <c r="E1779" s="2" t="s">
        <v>47</v>
      </c>
      <c r="F1779" s="2" t="s">
        <v>43</v>
      </c>
      <c r="G1779" s="2" t="s">
        <v>49</v>
      </c>
      <c r="H1779">
        <v>1</v>
      </c>
      <c r="I1779">
        <v>4</v>
      </c>
      <c r="J1779">
        <v>1223.01</v>
      </c>
      <c r="K1779">
        <v>0.08</v>
      </c>
      <c r="L1779">
        <v>760</v>
      </c>
      <c r="M1779">
        <v>4892.04</v>
      </c>
      <c r="N1779">
        <v>4500.6768000000002</v>
      </c>
      <c r="O1779">
        <v>3040</v>
      </c>
      <c r="P1779">
        <v>1460.6768000000002</v>
      </c>
    </row>
    <row r="1780" spans="1:16" x14ac:dyDescent="0.3">
      <c r="A1780" s="1">
        <v>45992</v>
      </c>
      <c r="B1780" s="2" t="s">
        <v>56</v>
      </c>
      <c r="C1780" s="2" t="s">
        <v>57</v>
      </c>
      <c r="D1780" s="2" t="s">
        <v>50</v>
      </c>
      <c r="E1780" s="2" t="s">
        <v>42</v>
      </c>
      <c r="F1780" s="2" t="s">
        <v>48</v>
      </c>
      <c r="G1780" s="2" t="s">
        <v>150</v>
      </c>
      <c r="H1780">
        <v>2</v>
      </c>
      <c r="I1780">
        <v>4</v>
      </c>
      <c r="J1780">
        <v>47.33</v>
      </c>
      <c r="K1780">
        <v>2.5000000000000001E-2</v>
      </c>
      <c r="L1780">
        <v>19.5</v>
      </c>
      <c r="M1780">
        <v>236.5</v>
      </c>
      <c r="N1780">
        <v>235.31299999999999</v>
      </c>
      <c r="O1780">
        <v>101</v>
      </c>
      <c r="P1780">
        <v>134.31299999999999</v>
      </c>
    </row>
    <row r="1781" spans="1:16" x14ac:dyDescent="0.3">
      <c r="A1781" s="1">
        <v>45992</v>
      </c>
      <c r="B1781" s="2" t="s">
        <v>83</v>
      </c>
      <c r="C1781" s="2" t="s">
        <v>164</v>
      </c>
      <c r="D1781" s="2" t="s">
        <v>50</v>
      </c>
      <c r="E1781" s="2" t="s">
        <v>42</v>
      </c>
      <c r="F1781" s="2" t="s">
        <v>52</v>
      </c>
      <c r="G1781" s="2" t="s">
        <v>232</v>
      </c>
      <c r="H1781">
        <v>2</v>
      </c>
      <c r="I1781">
        <v>2</v>
      </c>
      <c r="J1781">
        <v>126.99499999999999</v>
      </c>
      <c r="K1781">
        <v>7.5000000000000011E-2</v>
      </c>
      <c r="L1781">
        <v>71</v>
      </c>
      <c r="M1781">
        <v>253.98999999999998</v>
      </c>
      <c r="N1781">
        <v>239.08549999999997</v>
      </c>
      <c r="O1781">
        <v>142</v>
      </c>
      <c r="P1781">
        <v>97.085499999999968</v>
      </c>
    </row>
    <row r="1782" spans="1:16" x14ac:dyDescent="0.3">
      <c r="A1782" s="1">
        <v>45992</v>
      </c>
      <c r="B1782" s="2" t="s">
        <v>39</v>
      </c>
      <c r="C1782" s="2" t="s">
        <v>92</v>
      </c>
      <c r="D1782" s="2" t="s">
        <v>41</v>
      </c>
      <c r="E1782" s="2" t="s">
        <v>42</v>
      </c>
      <c r="F1782" s="2" t="s">
        <v>48</v>
      </c>
      <c r="G1782" s="2" t="s">
        <v>148</v>
      </c>
      <c r="H1782">
        <v>2</v>
      </c>
      <c r="I1782">
        <v>6</v>
      </c>
      <c r="J1782">
        <v>94.325000000000003</v>
      </c>
      <c r="K1782">
        <v>2.5000000000000001E-2</v>
      </c>
      <c r="L1782">
        <v>39</v>
      </c>
      <c r="M1782">
        <v>565.95000000000005</v>
      </c>
      <c r="N1782">
        <v>551.96250000000009</v>
      </c>
      <c r="O1782">
        <v>234</v>
      </c>
      <c r="P1782">
        <v>317.96250000000003</v>
      </c>
    </row>
    <row r="1783" spans="1:16" x14ac:dyDescent="0.3">
      <c r="A1783" s="1">
        <v>45992</v>
      </c>
      <c r="B1783" s="2" t="s">
        <v>56</v>
      </c>
      <c r="C1783" s="2" t="s">
        <v>72</v>
      </c>
      <c r="D1783" s="2" t="s">
        <v>46</v>
      </c>
      <c r="E1783" s="2" t="s">
        <v>47</v>
      </c>
      <c r="F1783" s="2" t="s">
        <v>52</v>
      </c>
      <c r="G1783" s="2" t="s">
        <v>172</v>
      </c>
      <c r="H1783">
        <v>1</v>
      </c>
      <c r="I1783">
        <v>3</v>
      </c>
      <c r="J1783">
        <v>43.77</v>
      </c>
      <c r="K1783">
        <v>0.12</v>
      </c>
      <c r="L1783">
        <v>18</v>
      </c>
      <c r="M1783">
        <v>131.31</v>
      </c>
      <c r="N1783">
        <v>115.5528</v>
      </c>
      <c r="O1783">
        <v>54</v>
      </c>
      <c r="P1783">
        <v>61.552800000000005</v>
      </c>
    </row>
    <row r="1784" spans="1:16" x14ac:dyDescent="0.3">
      <c r="A1784" s="1">
        <v>45992</v>
      </c>
      <c r="B1784" s="2" t="s">
        <v>39</v>
      </c>
      <c r="C1784" s="2" t="s">
        <v>40</v>
      </c>
      <c r="D1784" s="2" t="s">
        <v>46</v>
      </c>
      <c r="E1784" s="2" t="s">
        <v>42</v>
      </c>
      <c r="F1784" s="2" t="s">
        <v>43</v>
      </c>
      <c r="G1784" s="2" t="s">
        <v>207</v>
      </c>
      <c r="H1784">
        <v>1</v>
      </c>
      <c r="I1784">
        <v>1</v>
      </c>
      <c r="J1784">
        <v>172.22</v>
      </c>
      <c r="K1784">
        <v>0.05</v>
      </c>
      <c r="L1784">
        <v>86</v>
      </c>
      <c r="M1784">
        <v>172.22</v>
      </c>
      <c r="N1784">
        <v>163.60899999999998</v>
      </c>
      <c r="O1784">
        <v>86</v>
      </c>
      <c r="P1784">
        <v>77.60899999999998</v>
      </c>
    </row>
    <row r="1785" spans="1:16" x14ac:dyDescent="0.3">
      <c r="A1785" s="1">
        <v>45992</v>
      </c>
      <c r="B1785" s="2" t="s">
        <v>39</v>
      </c>
      <c r="C1785" s="2" t="s">
        <v>40</v>
      </c>
      <c r="D1785" s="2" t="s">
        <v>41</v>
      </c>
      <c r="E1785" s="2" t="s">
        <v>42</v>
      </c>
      <c r="F1785" s="2" t="s">
        <v>52</v>
      </c>
      <c r="G1785" s="2" t="s">
        <v>159</v>
      </c>
      <c r="H1785">
        <v>1</v>
      </c>
      <c r="I1785">
        <v>2</v>
      </c>
      <c r="J1785">
        <v>42.01</v>
      </c>
      <c r="K1785">
        <v>0</v>
      </c>
      <c r="L1785">
        <v>18</v>
      </c>
      <c r="M1785">
        <v>84.02</v>
      </c>
      <c r="N1785">
        <v>84.02</v>
      </c>
      <c r="O1785">
        <v>36</v>
      </c>
      <c r="P1785">
        <v>48.019999999999996</v>
      </c>
    </row>
    <row r="1786" spans="1:16" x14ac:dyDescent="0.3">
      <c r="A1786" s="1">
        <v>45992</v>
      </c>
      <c r="B1786" s="2" t="s">
        <v>39</v>
      </c>
      <c r="C1786" s="2" t="s">
        <v>40</v>
      </c>
      <c r="D1786" s="2" t="s">
        <v>50</v>
      </c>
      <c r="E1786" s="2" t="s">
        <v>47</v>
      </c>
      <c r="F1786" s="2" t="s">
        <v>43</v>
      </c>
      <c r="G1786" s="2" t="s">
        <v>214</v>
      </c>
      <c r="H1786">
        <v>2</v>
      </c>
      <c r="I1786">
        <v>6</v>
      </c>
      <c r="J1786">
        <v>474.62</v>
      </c>
      <c r="K1786">
        <v>0.09</v>
      </c>
      <c r="L1786">
        <v>1107.5</v>
      </c>
      <c r="M1786">
        <v>3195.2200000000003</v>
      </c>
      <c r="N1786">
        <v>2927.5676000000003</v>
      </c>
      <c r="O1786">
        <v>5220</v>
      </c>
      <c r="P1786">
        <v>-2292.4324000000001</v>
      </c>
    </row>
    <row r="1787" spans="1:16" x14ac:dyDescent="0.3">
      <c r="A1787" s="1">
        <v>45992</v>
      </c>
      <c r="B1787" s="2" t="s">
        <v>39</v>
      </c>
      <c r="C1787" s="2" t="s">
        <v>88</v>
      </c>
      <c r="D1787" s="2" t="s">
        <v>50</v>
      </c>
      <c r="E1787" s="2" t="s">
        <v>47</v>
      </c>
      <c r="F1787" s="2" t="s">
        <v>48</v>
      </c>
      <c r="G1787" s="2" t="s">
        <v>125</v>
      </c>
      <c r="H1787">
        <v>1</v>
      </c>
      <c r="I1787">
        <v>5</v>
      </c>
      <c r="J1787">
        <v>141.16999999999999</v>
      </c>
      <c r="K1787">
        <v>0.05</v>
      </c>
      <c r="L1787">
        <v>63</v>
      </c>
      <c r="M1787">
        <v>705.84999999999991</v>
      </c>
      <c r="N1787">
        <v>670.55749999999989</v>
      </c>
      <c r="O1787">
        <v>315</v>
      </c>
      <c r="P1787">
        <v>355.55749999999989</v>
      </c>
    </row>
    <row r="1788" spans="1:16" x14ac:dyDescent="0.3">
      <c r="A1788" s="1">
        <v>45992</v>
      </c>
      <c r="B1788" s="2" t="s">
        <v>39</v>
      </c>
      <c r="C1788" s="2" t="s">
        <v>88</v>
      </c>
      <c r="D1788" s="2" t="s">
        <v>50</v>
      </c>
      <c r="E1788" s="2" t="s">
        <v>47</v>
      </c>
      <c r="F1788" s="2" t="s">
        <v>43</v>
      </c>
      <c r="G1788" s="2" t="s">
        <v>125</v>
      </c>
      <c r="H1788">
        <v>2</v>
      </c>
      <c r="I1788">
        <v>4</v>
      </c>
      <c r="J1788">
        <v>181.74</v>
      </c>
      <c r="K1788">
        <v>0.05</v>
      </c>
      <c r="L1788">
        <v>86</v>
      </c>
      <c r="M1788">
        <v>726.96</v>
      </c>
      <c r="N1788">
        <v>690.61199999999997</v>
      </c>
      <c r="O1788">
        <v>344</v>
      </c>
      <c r="P1788">
        <v>346.61199999999997</v>
      </c>
    </row>
    <row r="1789" spans="1:16" x14ac:dyDescent="0.3">
      <c r="A1789" s="1">
        <v>45992</v>
      </c>
      <c r="B1789" s="2" t="s">
        <v>65</v>
      </c>
      <c r="C1789" s="2" t="s">
        <v>66</v>
      </c>
      <c r="D1789" s="2" t="s">
        <v>50</v>
      </c>
      <c r="E1789" s="2" t="s">
        <v>51</v>
      </c>
      <c r="F1789" s="2" t="s">
        <v>43</v>
      </c>
      <c r="G1789" s="2" t="s">
        <v>220</v>
      </c>
      <c r="H1789">
        <v>1</v>
      </c>
      <c r="I1789">
        <v>12</v>
      </c>
      <c r="J1789">
        <v>1104.1600000000001</v>
      </c>
      <c r="K1789">
        <v>0.08</v>
      </c>
      <c r="L1789">
        <v>760</v>
      </c>
      <c r="M1789">
        <v>13249.920000000002</v>
      </c>
      <c r="N1789">
        <v>12189.926400000002</v>
      </c>
      <c r="O1789">
        <v>9120</v>
      </c>
      <c r="P1789">
        <v>3069.9264000000021</v>
      </c>
    </row>
    <row r="1790" spans="1:16" x14ac:dyDescent="0.3">
      <c r="A1790" s="1">
        <v>45992</v>
      </c>
      <c r="B1790" s="2" t="s">
        <v>39</v>
      </c>
      <c r="C1790" s="2" t="s">
        <v>54</v>
      </c>
      <c r="D1790" s="2" t="s">
        <v>41</v>
      </c>
      <c r="E1790" s="2" t="s">
        <v>47</v>
      </c>
      <c r="F1790" s="2" t="s">
        <v>43</v>
      </c>
      <c r="G1790" s="2" t="s">
        <v>86</v>
      </c>
      <c r="H1790">
        <v>3</v>
      </c>
      <c r="I1790">
        <v>9</v>
      </c>
      <c r="J1790">
        <v>682.06000000000006</v>
      </c>
      <c r="K1790">
        <v>3.333333333333334E-2</v>
      </c>
      <c r="L1790">
        <v>413.66666666666669</v>
      </c>
      <c r="M1790">
        <v>6720.3</v>
      </c>
      <c r="N1790">
        <v>6664.8960000000006</v>
      </c>
      <c r="O1790">
        <v>4088</v>
      </c>
      <c r="P1790">
        <v>2576.8960000000006</v>
      </c>
    </row>
    <row r="1791" spans="1:16" x14ac:dyDescent="0.3">
      <c r="A1791" s="1">
        <v>45992</v>
      </c>
      <c r="B1791" s="2" t="s">
        <v>65</v>
      </c>
      <c r="C1791" s="2" t="s">
        <v>66</v>
      </c>
      <c r="D1791" s="2" t="s">
        <v>41</v>
      </c>
      <c r="E1791" s="2" t="s">
        <v>47</v>
      </c>
      <c r="F1791" s="2" t="s">
        <v>48</v>
      </c>
      <c r="G1791" s="2" t="s">
        <v>67</v>
      </c>
      <c r="H1791">
        <v>1</v>
      </c>
      <c r="I1791">
        <v>2</v>
      </c>
      <c r="J1791">
        <v>93.68</v>
      </c>
      <c r="K1791">
        <v>0</v>
      </c>
      <c r="L1791">
        <v>39</v>
      </c>
      <c r="M1791">
        <v>187.36</v>
      </c>
      <c r="N1791">
        <v>187.36</v>
      </c>
      <c r="O1791">
        <v>78</v>
      </c>
      <c r="P1791">
        <v>109.36000000000001</v>
      </c>
    </row>
    <row r="1792" spans="1:16" x14ac:dyDescent="0.3">
      <c r="A1792" s="1">
        <v>45992</v>
      </c>
      <c r="B1792" s="2" t="s">
        <v>65</v>
      </c>
      <c r="C1792" s="2" t="s">
        <v>134</v>
      </c>
      <c r="D1792" s="2" t="s">
        <v>41</v>
      </c>
      <c r="E1792" s="2" t="s">
        <v>42</v>
      </c>
      <c r="F1792" s="2" t="s">
        <v>48</v>
      </c>
      <c r="G1792" s="2" t="s">
        <v>227</v>
      </c>
      <c r="H1792">
        <v>1</v>
      </c>
      <c r="I1792">
        <v>4</v>
      </c>
      <c r="J1792">
        <v>95.26</v>
      </c>
      <c r="K1792">
        <v>0</v>
      </c>
      <c r="L1792">
        <v>39</v>
      </c>
      <c r="M1792">
        <v>381.04</v>
      </c>
      <c r="N1792">
        <v>381.04</v>
      </c>
      <c r="O1792">
        <v>156</v>
      </c>
      <c r="P1792">
        <v>225.04000000000002</v>
      </c>
    </row>
    <row r="1793" spans="1:16" x14ac:dyDescent="0.3">
      <c r="A1793" s="1">
        <v>45992</v>
      </c>
      <c r="B1793" s="2" t="s">
        <v>83</v>
      </c>
      <c r="C1793" s="2" t="s">
        <v>164</v>
      </c>
      <c r="D1793" s="2" t="s">
        <v>50</v>
      </c>
      <c r="E1793" s="2" t="s">
        <v>42</v>
      </c>
      <c r="F1793" s="2" t="s">
        <v>43</v>
      </c>
      <c r="G1793" s="2" t="s">
        <v>165</v>
      </c>
      <c r="H1793">
        <v>1</v>
      </c>
      <c r="I1793">
        <v>1</v>
      </c>
      <c r="J1793">
        <v>622.20000000000005</v>
      </c>
      <c r="K1793">
        <v>0.12</v>
      </c>
      <c r="L1793">
        <v>395</v>
      </c>
      <c r="M1793">
        <v>622.20000000000005</v>
      </c>
      <c r="N1793">
        <v>547.53600000000006</v>
      </c>
      <c r="O1793">
        <v>395</v>
      </c>
      <c r="P1793">
        <v>152.53600000000006</v>
      </c>
    </row>
    <row r="1794" spans="1:16" x14ac:dyDescent="0.3">
      <c r="A1794" s="1">
        <v>45992</v>
      </c>
      <c r="B1794" s="2" t="s">
        <v>39</v>
      </c>
      <c r="C1794" s="2" t="s">
        <v>40</v>
      </c>
      <c r="D1794" s="2" t="s">
        <v>46</v>
      </c>
      <c r="E1794" s="2" t="s">
        <v>42</v>
      </c>
      <c r="F1794" s="2" t="s">
        <v>52</v>
      </c>
      <c r="G1794" s="2" t="s">
        <v>207</v>
      </c>
      <c r="H1794">
        <v>1</v>
      </c>
      <c r="I1794">
        <v>2</v>
      </c>
      <c r="J1794">
        <v>213.69</v>
      </c>
      <c r="K1794">
        <v>0.05</v>
      </c>
      <c r="L1794">
        <v>124</v>
      </c>
      <c r="M1794">
        <v>427.38</v>
      </c>
      <c r="N1794">
        <v>406.01099999999997</v>
      </c>
      <c r="O1794">
        <v>248</v>
      </c>
      <c r="P1794">
        <v>158.01099999999997</v>
      </c>
    </row>
    <row r="1795" spans="1:16" x14ac:dyDescent="0.3">
      <c r="A1795" s="1">
        <v>45992</v>
      </c>
      <c r="B1795" s="2" t="s">
        <v>39</v>
      </c>
      <c r="C1795" s="2" t="s">
        <v>40</v>
      </c>
      <c r="D1795" s="2" t="s">
        <v>46</v>
      </c>
      <c r="E1795" s="2" t="s">
        <v>42</v>
      </c>
      <c r="F1795" s="2" t="s">
        <v>48</v>
      </c>
      <c r="G1795" s="2" t="s">
        <v>207</v>
      </c>
      <c r="H1795">
        <v>2</v>
      </c>
      <c r="I1795">
        <v>6</v>
      </c>
      <c r="J1795">
        <v>93.18</v>
      </c>
      <c r="K1795">
        <v>0.05</v>
      </c>
      <c r="L1795">
        <v>39</v>
      </c>
      <c r="M1795">
        <v>559.08000000000004</v>
      </c>
      <c r="N1795">
        <v>531.12599999999998</v>
      </c>
      <c r="O1795">
        <v>234</v>
      </c>
      <c r="P1795">
        <v>297.12599999999998</v>
      </c>
    </row>
    <row r="1796" spans="1:16" x14ac:dyDescent="0.3">
      <c r="A1796" s="1">
        <v>45992</v>
      </c>
      <c r="B1796" s="2" t="s">
        <v>56</v>
      </c>
      <c r="C1796" s="2" t="s">
        <v>72</v>
      </c>
      <c r="D1796" s="2" t="s">
        <v>50</v>
      </c>
      <c r="E1796" s="2" t="s">
        <v>42</v>
      </c>
      <c r="F1796" s="2" t="s">
        <v>48</v>
      </c>
      <c r="G1796" s="2" t="s">
        <v>73</v>
      </c>
      <c r="H1796">
        <v>1</v>
      </c>
      <c r="I1796">
        <v>1</v>
      </c>
      <c r="J1796">
        <v>133.02000000000001</v>
      </c>
      <c r="K1796">
        <v>0.05</v>
      </c>
      <c r="L1796">
        <v>63</v>
      </c>
      <c r="M1796">
        <v>133.02000000000001</v>
      </c>
      <c r="N1796">
        <v>126.369</v>
      </c>
      <c r="O1796">
        <v>63</v>
      </c>
      <c r="P1796">
        <v>63.369</v>
      </c>
    </row>
    <row r="1797" spans="1:16" x14ac:dyDescent="0.3">
      <c r="A1797" s="1">
        <v>45992</v>
      </c>
      <c r="B1797" s="2" t="s">
        <v>56</v>
      </c>
      <c r="C1797" s="2" t="s">
        <v>72</v>
      </c>
      <c r="D1797" s="2" t="s">
        <v>50</v>
      </c>
      <c r="E1797" s="2" t="s">
        <v>42</v>
      </c>
      <c r="F1797" s="2" t="s">
        <v>52</v>
      </c>
      <c r="G1797" s="2" t="s">
        <v>73</v>
      </c>
      <c r="H1797">
        <v>1</v>
      </c>
      <c r="I1797">
        <v>1</v>
      </c>
      <c r="J1797">
        <v>43.46</v>
      </c>
      <c r="K1797">
        <v>0.05</v>
      </c>
      <c r="L1797">
        <v>18</v>
      </c>
      <c r="M1797">
        <v>43.46</v>
      </c>
      <c r="N1797">
        <v>41.286999999999999</v>
      </c>
      <c r="O1797">
        <v>18</v>
      </c>
      <c r="P1797">
        <v>23.286999999999999</v>
      </c>
    </row>
    <row r="1798" spans="1:16" x14ac:dyDescent="0.3">
      <c r="A1798" s="1">
        <v>45992</v>
      </c>
      <c r="B1798" s="2" t="s">
        <v>56</v>
      </c>
      <c r="C1798" s="2" t="s">
        <v>62</v>
      </c>
      <c r="D1798" s="2" t="s">
        <v>50</v>
      </c>
      <c r="E1798" s="2" t="s">
        <v>47</v>
      </c>
      <c r="F1798" s="2" t="s">
        <v>43</v>
      </c>
      <c r="G1798" s="2" t="s">
        <v>139</v>
      </c>
      <c r="H1798">
        <v>1</v>
      </c>
      <c r="I1798">
        <v>1</v>
      </c>
      <c r="J1798">
        <v>852.96</v>
      </c>
      <c r="K1798">
        <v>0.1</v>
      </c>
      <c r="L1798">
        <v>520</v>
      </c>
      <c r="M1798">
        <v>852.96</v>
      </c>
      <c r="N1798">
        <v>767.6640000000001</v>
      </c>
      <c r="O1798">
        <v>520</v>
      </c>
      <c r="P1798">
        <v>247.6640000000001</v>
      </c>
    </row>
    <row r="1799" spans="1:16" x14ac:dyDescent="0.3">
      <c r="A1799" s="1">
        <v>45992</v>
      </c>
      <c r="B1799" s="2" t="s">
        <v>56</v>
      </c>
      <c r="C1799" s="2" t="s">
        <v>62</v>
      </c>
      <c r="D1799" s="2" t="s">
        <v>50</v>
      </c>
      <c r="E1799" s="2" t="s">
        <v>47</v>
      </c>
      <c r="F1799" s="2" t="s">
        <v>48</v>
      </c>
      <c r="G1799" s="2" t="s">
        <v>139</v>
      </c>
      <c r="H1799">
        <v>1</v>
      </c>
      <c r="I1799">
        <v>4</v>
      </c>
      <c r="J1799">
        <v>75.97</v>
      </c>
      <c r="K1799">
        <v>0.05</v>
      </c>
      <c r="L1799">
        <v>31</v>
      </c>
      <c r="M1799">
        <v>303.88</v>
      </c>
      <c r="N1799">
        <v>288.68599999999998</v>
      </c>
      <c r="O1799">
        <v>124</v>
      </c>
      <c r="P1799">
        <v>164.68599999999998</v>
      </c>
    </row>
    <row r="1800" spans="1:16" x14ac:dyDescent="0.3">
      <c r="A1800" s="1">
        <v>45992</v>
      </c>
      <c r="B1800" s="2" t="s">
        <v>39</v>
      </c>
      <c r="C1800" s="2" t="s">
        <v>78</v>
      </c>
      <c r="D1800" s="2" t="s">
        <v>50</v>
      </c>
      <c r="E1800" s="2" t="s">
        <v>47</v>
      </c>
      <c r="F1800" s="2" t="s">
        <v>43</v>
      </c>
      <c r="G1800" s="2" t="s">
        <v>190</v>
      </c>
      <c r="H1800">
        <v>1</v>
      </c>
      <c r="I1800">
        <v>2</v>
      </c>
      <c r="J1800">
        <v>294.48</v>
      </c>
      <c r="K1800">
        <v>0</v>
      </c>
      <c r="L1800">
        <v>182</v>
      </c>
      <c r="M1800">
        <v>588.96</v>
      </c>
      <c r="N1800">
        <v>588.96</v>
      </c>
      <c r="O1800">
        <v>364</v>
      </c>
      <c r="P1800">
        <v>224.96000000000004</v>
      </c>
    </row>
    <row r="1801" spans="1:16" x14ac:dyDescent="0.3">
      <c r="A1801" s="1">
        <v>45992</v>
      </c>
      <c r="B1801" s="2" t="s">
        <v>39</v>
      </c>
      <c r="C1801" s="2" t="s">
        <v>78</v>
      </c>
      <c r="D1801" s="2" t="s">
        <v>50</v>
      </c>
      <c r="E1801" s="2" t="s">
        <v>47</v>
      </c>
      <c r="F1801" s="2" t="s">
        <v>48</v>
      </c>
      <c r="G1801" s="2" t="s">
        <v>190</v>
      </c>
      <c r="H1801">
        <v>1</v>
      </c>
      <c r="I1801">
        <v>2</v>
      </c>
      <c r="J1801">
        <v>24.11</v>
      </c>
      <c r="K1801">
        <v>0.12</v>
      </c>
      <c r="L1801">
        <v>8</v>
      </c>
      <c r="M1801">
        <v>48.22</v>
      </c>
      <c r="N1801">
        <v>42.433599999999998</v>
      </c>
      <c r="O1801">
        <v>16</v>
      </c>
      <c r="P1801">
        <v>26.433599999999998</v>
      </c>
    </row>
    <row r="1802" spans="1:16" x14ac:dyDescent="0.3">
      <c r="A1802" s="1">
        <v>45992</v>
      </c>
      <c r="B1802" s="2" t="s">
        <v>39</v>
      </c>
      <c r="C1802" s="2" t="s">
        <v>40</v>
      </c>
      <c r="D1802" s="2" t="s">
        <v>50</v>
      </c>
      <c r="E1802" s="2" t="s">
        <v>42</v>
      </c>
      <c r="F1802" s="2" t="s">
        <v>48</v>
      </c>
      <c r="G1802" s="2" t="s">
        <v>205</v>
      </c>
      <c r="H1802">
        <v>1</v>
      </c>
      <c r="I1802">
        <v>3</v>
      </c>
      <c r="J1802">
        <v>23.71</v>
      </c>
      <c r="K1802">
        <v>0</v>
      </c>
      <c r="L1802">
        <v>8</v>
      </c>
      <c r="M1802">
        <v>71.13</v>
      </c>
      <c r="N1802">
        <v>71.13</v>
      </c>
      <c r="O1802">
        <v>24</v>
      </c>
      <c r="P1802">
        <v>47.129999999999995</v>
      </c>
    </row>
    <row r="1803" spans="1:16" x14ac:dyDescent="0.3">
      <c r="A1803" s="1">
        <v>45992</v>
      </c>
      <c r="B1803" s="2" t="s">
        <v>39</v>
      </c>
      <c r="C1803" s="2" t="s">
        <v>40</v>
      </c>
      <c r="D1803" s="2" t="s">
        <v>50</v>
      </c>
      <c r="E1803" s="2" t="s">
        <v>42</v>
      </c>
      <c r="F1803" s="2" t="s">
        <v>52</v>
      </c>
      <c r="G1803" s="2" t="s">
        <v>205</v>
      </c>
      <c r="H1803">
        <v>1</v>
      </c>
      <c r="I1803">
        <v>1</v>
      </c>
      <c r="J1803">
        <v>44.68</v>
      </c>
      <c r="K1803">
        <v>0.08</v>
      </c>
      <c r="L1803">
        <v>18</v>
      </c>
      <c r="M1803">
        <v>44.68</v>
      </c>
      <c r="N1803">
        <v>41.105600000000003</v>
      </c>
      <c r="O1803">
        <v>18</v>
      </c>
      <c r="P1803">
        <v>23.105600000000003</v>
      </c>
    </row>
    <row r="1804" spans="1:16" x14ac:dyDescent="0.3">
      <c r="A1804" s="1">
        <v>45992</v>
      </c>
      <c r="B1804" s="2" t="s">
        <v>39</v>
      </c>
      <c r="C1804" s="2" t="s">
        <v>78</v>
      </c>
      <c r="D1804" s="2" t="s">
        <v>41</v>
      </c>
      <c r="E1804" s="2" t="s">
        <v>47</v>
      </c>
      <c r="F1804" s="2" t="s">
        <v>43</v>
      </c>
      <c r="G1804" s="2" t="s">
        <v>217</v>
      </c>
      <c r="H1804">
        <v>2</v>
      </c>
      <c r="I1804">
        <v>4</v>
      </c>
      <c r="J1804">
        <v>470.70500000000004</v>
      </c>
      <c r="K1804">
        <v>0.05</v>
      </c>
      <c r="L1804">
        <v>288.5</v>
      </c>
      <c r="M1804">
        <v>2212.37</v>
      </c>
      <c r="N1804">
        <v>2021.7260000000001</v>
      </c>
      <c r="O1804">
        <v>1367</v>
      </c>
      <c r="P1804">
        <v>654.72600000000011</v>
      </c>
    </row>
    <row r="1805" spans="1:16" x14ac:dyDescent="0.3">
      <c r="A1805" s="1">
        <v>45992</v>
      </c>
      <c r="B1805" s="2" t="s">
        <v>56</v>
      </c>
      <c r="C1805" s="2" t="s">
        <v>72</v>
      </c>
      <c r="D1805" s="2" t="s">
        <v>50</v>
      </c>
      <c r="E1805" s="2" t="s">
        <v>42</v>
      </c>
      <c r="F1805" s="2" t="s">
        <v>43</v>
      </c>
      <c r="G1805" s="2" t="s">
        <v>221</v>
      </c>
      <c r="H1805">
        <v>1</v>
      </c>
      <c r="I1805">
        <v>3</v>
      </c>
      <c r="J1805">
        <v>1119.78</v>
      </c>
      <c r="K1805">
        <v>0.08</v>
      </c>
      <c r="L1805">
        <v>760</v>
      </c>
      <c r="M1805">
        <v>3359.34</v>
      </c>
      <c r="N1805">
        <v>3090.5928000000004</v>
      </c>
      <c r="O1805">
        <v>2280</v>
      </c>
      <c r="P1805">
        <v>810.59280000000035</v>
      </c>
    </row>
    <row r="1806" spans="1:16" x14ac:dyDescent="0.3">
      <c r="A1806" s="1">
        <v>45992</v>
      </c>
      <c r="B1806" s="2" t="s">
        <v>39</v>
      </c>
      <c r="C1806" s="2" t="s">
        <v>92</v>
      </c>
      <c r="D1806" s="2" t="s">
        <v>50</v>
      </c>
      <c r="E1806" s="2" t="s">
        <v>51</v>
      </c>
      <c r="F1806" s="2" t="s">
        <v>43</v>
      </c>
      <c r="G1806" s="2" t="s">
        <v>97</v>
      </c>
      <c r="H1806">
        <v>1</v>
      </c>
      <c r="I1806">
        <v>7</v>
      </c>
      <c r="J1806">
        <v>260.08</v>
      </c>
      <c r="K1806">
        <v>0.08</v>
      </c>
      <c r="L1806">
        <v>182</v>
      </c>
      <c r="M1806">
        <v>1820.56</v>
      </c>
      <c r="N1806">
        <v>1674.9151999999999</v>
      </c>
      <c r="O1806">
        <v>1274</v>
      </c>
      <c r="P1806">
        <v>400.91519999999991</v>
      </c>
    </row>
    <row r="1807" spans="1:16" x14ac:dyDescent="0.3">
      <c r="A1807" s="1">
        <v>45992</v>
      </c>
      <c r="B1807" s="2" t="s">
        <v>39</v>
      </c>
      <c r="C1807" s="2" t="s">
        <v>92</v>
      </c>
      <c r="D1807" s="2" t="s">
        <v>50</v>
      </c>
      <c r="E1807" s="2" t="s">
        <v>51</v>
      </c>
      <c r="F1807" s="2" t="s">
        <v>48</v>
      </c>
      <c r="G1807" s="2" t="s">
        <v>97</v>
      </c>
      <c r="H1807">
        <v>1</v>
      </c>
      <c r="I1807">
        <v>13</v>
      </c>
      <c r="J1807">
        <v>67.73</v>
      </c>
      <c r="K1807">
        <v>0.1</v>
      </c>
      <c r="L1807">
        <v>31</v>
      </c>
      <c r="M1807">
        <v>880.49</v>
      </c>
      <c r="N1807">
        <v>792.44100000000003</v>
      </c>
      <c r="O1807">
        <v>403</v>
      </c>
      <c r="P1807">
        <v>389.44100000000003</v>
      </c>
    </row>
    <row r="1808" spans="1:16" x14ac:dyDescent="0.3">
      <c r="A1808" s="1">
        <v>45992</v>
      </c>
      <c r="B1808" s="2" t="s">
        <v>56</v>
      </c>
      <c r="C1808" s="2" t="s">
        <v>72</v>
      </c>
      <c r="D1808" s="2" t="s">
        <v>46</v>
      </c>
      <c r="E1808" s="2" t="s">
        <v>47</v>
      </c>
      <c r="F1808" s="2" t="s">
        <v>43</v>
      </c>
      <c r="G1808" s="2" t="s">
        <v>199</v>
      </c>
      <c r="H1808">
        <v>1</v>
      </c>
      <c r="I1808">
        <v>3</v>
      </c>
      <c r="J1808">
        <v>642.57000000000005</v>
      </c>
      <c r="K1808">
        <v>0.08</v>
      </c>
      <c r="L1808">
        <v>395</v>
      </c>
      <c r="M1808">
        <v>1927.71</v>
      </c>
      <c r="N1808">
        <v>1773.4932000000001</v>
      </c>
      <c r="O1808">
        <v>1185</v>
      </c>
      <c r="P1808">
        <v>588.49320000000012</v>
      </c>
    </row>
    <row r="1809" spans="1:16" x14ac:dyDescent="0.3">
      <c r="A1809" s="1">
        <v>45992</v>
      </c>
      <c r="B1809" s="2" t="s">
        <v>56</v>
      </c>
      <c r="C1809" s="2" t="s">
        <v>72</v>
      </c>
      <c r="D1809" s="2" t="s">
        <v>46</v>
      </c>
      <c r="E1809" s="2" t="s">
        <v>47</v>
      </c>
      <c r="F1809" s="2" t="s">
        <v>48</v>
      </c>
      <c r="G1809" s="2" t="s">
        <v>199</v>
      </c>
      <c r="H1809">
        <v>1</v>
      </c>
      <c r="I1809">
        <v>1</v>
      </c>
      <c r="J1809">
        <v>95.09</v>
      </c>
      <c r="K1809">
        <v>0.12</v>
      </c>
      <c r="L1809">
        <v>39</v>
      </c>
      <c r="M1809">
        <v>95.09</v>
      </c>
      <c r="N1809">
        <v>83.679200000000009</v>
      </c>
      <c r="O1809">
        <v>39</v>
      </c>
      <c r="P1809">
        <v>44.679200000000009</v>
      </c>
    </row>
    <row r="1810" spans="1:16" x14ac:dyDescent="0.3">
      <c r="A1810" s="1">
        <v>45992</v>
      </c>
      <c r="B1810" s="2" t="s">
        <v>83</v>
      </c>
      <c r="C1810" s="2" t="s">
        <v>84</v>
      </c>
      <c r="D1810" s="2" t="s">
        <v>50</v>
      </c>
      <c r="E1810" s="2" t="s">
        <v>51</v>
      </c>
      <c r="F1810" s="2" t="s">
        <v>52</v>
      </c>
      <c r="G1810" s="2" t="s">
        <v>91</v>
      </c>
      <c r="H1810">
        <v>1</v>
      </c>
      <c r="I1810">
        <v>13</v>
      </c>
      <c r="J1810">
        <v>196.79</v>
      </c>
      <c r="K1810">
        <v>0</v>
      </c>
      <c r="L1810">
        <v>124</v>
      </c>
      <c r="M1810">
        <v>2558.27</v>
      </c>
      <c r="N1810">
        <v>2558.27</v>
      </c>
      <c r="O1810">
        <v>1612</v>
      </c>
      <c r="P1810">
        <v>946.27</v>
      </c>
    </row>
    <row r="1811" spans="1:16" x14ac:dyDescent="0.3">
      <c r="A1811" s="1">
        <v>45992</v>
      </c>
      <c r="B1811" s="2" t="s">
        <v>39</v>
      </c>
      <c r="C1811" s="2" t="s">
        <v>45</v>
      </c>
      <c r="D1811" s="2" t="s">
        <v>41</v>
      </c>
      <c r="E1811" s="2" t="s">
        <v>47</v>
      </c>
      <c r="F1811" s="2" t="s">
        <v>48</v>
      </c>
      <c r="G1811" s="2" t="s">
        <v>170</v>
      </c>
      <c r="H1811">
        <v>1</v>
      </c>
      <c r="I1811">
        <v>2</v>
      </c>
      <c r="J1811">
        <v>144.18</v>
      </c>
      <c r="K1811">
        <v>0</v>
      </c>
      <c r="L1811">
        <v>63</v>
      </c>
      <c r="M1811">
        <v>288.36</v>
      </c>
      <c r="N1811">
        <v>288.36</v>
      </c>
      <c r="O1811">
        <v>126</v>
      </c>
      <c r="P1811">
        <v>162.36000000000001</v>
      </c>
    </row>
    <row r="1812" spans="1:16" x14ac:dyDescent="0.3">
      <c r="A1812" s="1">
        <v>45992</v>
      </c>
      <c r="B1812" s="2" t="s">
        <v>39</v>
      </c>
      <c r="C1812" s="2" t="s">
        <v>78</v>
      </c>
      <c r="D1812" s="2" t="s">
        <v>41</v>
      </c>
      <c r="E1812" s="2" t="s">
        <v>47</v>
      </c>
      <c r="F1812" s="2" t="s">
        <v>43</v>
      </c>
      <c r="G1812" s="2" t="s">
        <v>156</v>
      </c>
      <c r="H1812">
        <v>1</v>
      </c>
      <c r="I1812">
        <v>4</v>
      </c>
      <c r="J1812">
        <v>1169.79</v>
      </c>
      <c r="K1812">
        <v>0</v>
      </c>
      <c r="L1812">
        <v>760</v>
      </c>
      <c r="M1812">
        <v>4679.16</v>
      </c>
      <c r="N1812">
        <v>4679.16</v>
      </c>
      <c r="O1812">
        <v>3040</v>
      </c>
      <c r="P1812">
        <v>1639.1599999999999</v>
      </c>
    </row>
    <row r="1813" spans="1:16" x14ac:dyDescent="0.3">
      <c r="A1813" s="1">
        <v>45992</v>
      </c>
      <c r="B1813" s="2" t="s">
        <v>39</v>
      </c>
      <c r="C1813" s="2" t="s">
        <v>92</v>
      </c>
      <c r="D1813" s="2" t="s">
        <v>46</v>
      </c>
      <c r="E1813" s="2" t="s">
        <v>51</v>
      </c>
      <c r="F1813" s="2" t="s">
        <v>48</v>
      </c>
      <c r="G1813" s="2" t="s">
        <v>169</v>
      </c>
      <c r="H1813">
        <v>1</v>
      </c>
      <c r="I1813">
        <v>13</v>
      </c>
      <c r="J1813">
        <v>22.24</v>
      </c>
      <c r="K1813">
        <v>0.12</v>
      </c>
      <c r="L1813">
        <v>8</v>
      </c>
      <c r="M1813">
        <v>289.12</v>
      </c>
      <c r="N1813">
        <v>254.4256</v>
      </c>
      <c r="O1813">
        <v>104</v>
      </c>
      <c r="P1813">
        <v>150.4256</v>
      </c>
    </row>
    <row r="1814" spans="1:16" x14ac:dyDescent="0.3">
      <c r="A1814" s="1">
        <v>45992</v>
      </c>
      <c r="B1814" s="2" t="s">
        <v>83</v>
      </c>
      <c r="C1814" s="2" t="s">
        <v>84</v>
      </c>
      <c r="D1814" s="2" t="s">
        <v>41</v>
      </c>
      <c r="E1814" s="2" t="s">
        <v>47</v>
      </c>
      <c r="F1814" s="2" t="s">
        <v>43</v>
      </c>
      <c r="G1814" s="2" t="s">
        <v>202</v>
      </c>
      <c r="H1814">
        <v>1</v>
      </c>
      <c r="I1814">
        <v>3</v>
      </c>
      <c r="J1814">
        <v>1228.21</v>
      </c>
      <c r="K1814">
        <v>0.05</v>
      </c>
      <c r="L1814">
        <v>760</v>
      </c>
      <c r="M1814">
        <v>3684.63</v>
      </c>
      <c r="N1814">
        <v>3500.3984999999998</v>
      </c>
      <c r="O1814">
        <v>2280</v>
      </c>
      <c r="P1814">
        <v>1220.3984999999998</v>
      </c>
    </row>
    <row r="1815" spans="1:16" x14ac:dyDescent="0.3">
      <c r="A1815" s="1">
        <v>45809</v>
      </c>
      <c r="B1815" s="2" t="s">
        <v>39</v>
      </c>
      <c r="C1815" s="2" t="s">
        <v>78</v>
      </c>
      <c r="D1815" s="2" t="s">
        <v>46</v>
      </c>
      <c r="E1815" s="2" t="s">
        <v>47</v>
      </c>
      <c r="F1815" s="2" t="s">
        <v>52</v>
      </c>
      <c r="G1815" s="2" t="s">
        <v>79</v>
      </c>
      <c r="H1815">
        <v>1</v>
      </c>
      <c r="I1815">
        <v>2</v>
      </c>
      <c r="J1815">
        <v>211.88</v>
      </c>
      <c r="K1815">
        <v>0.08</v>
      </c>
      <c r="L1815">
        <v>124</v>
      </c>
      <c r="M1815">
        <v>423.76</v>
      </c>
      <c r="N1815">
        <v>389.85919999999999</v>
      </c>
      <c r="O1815">
        <v>248</v>
      </c>
      <c r="P1815">
        <v>141.85919999999999</v>
      </c>
    </row>
    <row r="1816" spans="1:16" x14ac:dyDescent="0.3">
      <c r="A1816" s="1">
        <v>45992</v>
      </c>
      <c r="B1816" s="2" t="s">
        <v>39</v>
      </c>
      <c r="C1816" s="2" t="s">
        <v>40</v>
      </c>
      <c r="D1816" s="2" t="s">
        <v>41</v>
      </c>
      <c r="E1816" s="2" t="s">
        <v>42</v>
      </c>
      <c r="F1816" s="2" t="s">
        <v>48</v>
      </c>
      <c r="G1816" s="2" t="s">
        <v>159</v>
      </c>
      <c r="H1816">
        <v>1</v>
      </c>
      <c r="I1816">
        <v>4</v>
      </c>
      <c r="J1816">
        <v>95.98</v>
      </c>
      <c r="K1816">
        <v>0</v>
      </c>
      <c r="L1816">
        <v>39</v>
      </c>
      <c r="M1816">
        <v>383.92</v>
      </c>
      <c r="N1816">
        <v>383.92</v>
      </c>
      <c r="O1816">
        <v>156</v>
      </c>
      <c r="P1816">
        <v>227.92000000000002</v>
      </c>
    </row>
    <row r="1817" spans="1:16" x14ac:dyDescent="0.3">
      <c r="A1817" s="1">
        <v>45992</v>
      </c>
      <c r="B1817" s="2" t="s">
        <v>39</v>
      </c>
      <c r="C1817" s="2" t="s">
        <v>92</v>
      </c>
      <c r="D1817" s="2" t="s">
        <v>50</v>
      </c>
      <c r="E1817" s="2" t="s">
        <v>51</v>
      </c>
      <c r="F1817" s="2" t="s">
        <v>48</v>
      </c>
      <c r="G1817" s="2" t="s">
        <v>110</v>
      </c>
      <c r="H1817">
        <v>1</v>
      </c>
      <c r="I1817">
        <v>17</v>
      </c>
      <c r="J1817">
        <v>20.86</v>
      </c>
      <c r="K1817">
        <v>0.08</v>
      </c>
      <c r="L1817">
        <v>8</v>
      </c>
      <c r="M1817">
        <v>354.62</v>
      </c>
      <c r="N1817">
        <v>326.25040000000001</v>
      </c>
      <c r="O1817">
        <v>136</v>
      </c>
      <c r="P1817">
        <v>190.25040000000001</v>
      </c>
    </row>
    <row r="1818" spans="1:16" x14ac:dyDescent="0.3">
      <c r="A1818" s="1">
        <v>45992</v>
      </c>
      <c r="B1818" s="2" t="s">
        <v>39</v>
      </c>
      <c r="C1818" s="2" t="s">
        <v>92</v>
      </c>
      <c r="D1818" s="2" t="s">
        <v>50</v>
      </c>
      <c r="E1818" s="2" t="s">
        <v>42</v>
      </c>
      <c r="F1818" s="2" t="s">
        <v>43</v>
      </c>
      <c r="G1818" s="2" t="s">
        <v>110</v>
      </c>
      <c r="H1818">
        <v>1</v>
      </c>
      <c r="I1818">
        <v>3</v>
      </c>
      <c r="J1818">
        <v>1122.75</v>
      </c>
      <c r="K1818">
        <v>0.05</v>
      </c>
      <c r="L1818">
        <v>760</v>
      </c>
      <c r="M1818">
        <v>3368.25</v>
      </c>
      <c r="N1818">
        <v>3199.8374999999996</v>
      </c>
      <c r="O1818">
        <v>2280</v>
      </c>
      <c r="P1818">
        <v>919.83749999999964</v>
      </c>
    </row>
    <row r="1819" spans="1:16" x14ac:dyDescent="0.3">
      <c r="A1819" s="1">
        <v>45992</v>
      </c>
      <c r="B1819" s="2" t="s">
        <v>39</v>
      </c>
      <c r="C1819" s="2" t="s">
        <v>54</v>
      </c>
      <c r="D1819" s="2" t="s">
        <v>41</v>
      </c>
      <c r="E1819" s="2" t="s">
        <v>42</v>
      </c>
      <c r="F1819" s="2" t="s">
        <v>43</v>
      </c>
      <c r="G1819" s="2" t="s">
        <v>69</v>
      </c>
      <c r="H1819">
        <v>1</v>
      </c>
      <c r="I1819">
        <v>1</v>
      </c>
      <c r="J1819">
        <v>626.01</v>
      </c>
      <c r="K1819">
        <v>0</v>
      </c>
      <c r="L1819">
        <v>395</v>
      </c>
      <c r="M1819">
        <v>626.01</v>
      </c>
      <c r="N1819">
        <v>626.01</v>
      </c>
      <c r="O1819">
        <v>395</v>
      </c>
      <c r="P1819">
        <v>231.01</v>
      </c>
    </row>
    <row r="1820" spans="1:16" x14ac:dyDescent="0.3">
      <c r="A1820" s="1">
        <v>45992</v>
      </c>
      <c r="B1820" s="2" t="s">
        <v>39</v>
      </c>
      <c r="C1820" s="2" t="s">
        <v>54</v>
      </c>
      <c r="D1820" s="2" t="s">
        <v>41</v>
      </c>
      <c r="E1820" s="2" t="s">
        <v>42</v>
      </c>
      <c r="F1820" s="2" t="s">
        <v>52</v>
      </c>
      <c r="G1820" s="2" t="s">
        <v>69</v>
      </c>
      <c r="H1820">
        <v>1</v>
      </c>
      <c r="I1820">
        <v>1</v>
      </c>
      <c r="J1820">
        <v>44.65</v>
      </c>
      <c r="K1820">
        <v>0</v>
      </c>
      <c r="L1820">
        <v>18</v>
      </c>
      <c r="M1820">
        <v>44.65</v>
      </c>
      <c r="N1820">
        <v>44.65</v>
      </c>
      <c r="O1820">
        <v>18</v>
      </c>
      <c r="P1820">
        <v>26.65</v>
      </c>
    </row>
    <row r="1821" spans="1:16" x14ac:dyDescent="0.3">
      <c r="A1821" s="1">
        <v>45992</v>
      </c>
      <c r="B1821" s="2" t="s">
        <v>83</v>
      </c>
      <c r="C1821" s="2" t="s">
        <v>84</v>
      </c>
      <c r="D1821" s="2" t="s">
        <v>50</v>
      </c>
      <c r="E1821" s="2" t="s">
        <v>51</v>
      </c>
      <c r="F1821" s="2" t="s">
        <v>48</v>
      </c>
      <c r="G1821" s="2" t="s">
        <v>91</v>
      </c>
      <c r="H1821">
        <v>1</v>
      </c>
      <c r="I1821">
        <v>16</v>
      </c>
      <c r="J1821">
        <v>21.74</v>
      </c>
      <c r="K1821">
        <v>0.05</v>
      </c>
      <c r="L1821">
        <v>8</v>
      </c>
      <c r="M1821">
        <v>347.84</v>
      </c>
      <c r="N1821">
        <v>330.44799999999998</v>
      </c>
      <c r="O1821">
        <v>128</v>
      </c>
      <c r="P1821">
        <v>202.44799999999998</v>
      </c>
    </row>
    <row r="1822" spans="1:16" x14ac:dyDescent="0.3">
      <c r="A1822" s="1">
        <v>45992</v>
      </c>
      <c r="B1822" s="2" t="s">
        <v>39</v>
      </c>
      <c r="C1822" s="2" t="s">
        <v>92</v>
      </c>
      <c r="D1822" s="2" t="s">
        <v>41</v>
      </c>
      <c r="E1822" s="2" t="s">
        <v>42</v>
      </c>
      <c r="F1822" s="2" t="s">
        <v>48</v>
      </c>
      <c r="G1822" s="2" t="s">
        <v>187</v>
      </c>
      <c r="H1822">
        <v>1</v>
      </c>
      <c r="I1822">
        <v>4</v>
      </c>
      <c r="J1822">
        <v>71.739999999999995</v>
      </c>
      <c r="K1822">
        <v>0</v>
      </c>
      <c r="L1822">
        <v>31</v>
      </c>
      <c r="M1822">
        <v>286.95999999999998</v>
      </c>
      <c r="N1822">
        <v>286.95999999999998</v>
      </c>
      <c r="O1822">
        <v>124</v>
      </c>
      <c r="P1822">
        <v>162.95999999999998</v>
      </c>
    </row>
    <row r="1823" spans="1:16" x14ac:dyDescent="0.3">
      <c r="A1823" s="1">
        <v>45992</v>
      </c>
      <c r="B1823" s="2" t="s">
        <v>39</v>
      </c>
      <c r="C1823" s="2" t="s">
        <v>88</v>
      </c>
      <c r="D1823" s="2" t="s">
        <v>50</v>
      </c>
      <c r="E1823" s="2" t="s">
        <v>42</v>
      </c>
      <c r="F1823" s="2" t="s">
        <v>43</v>
      </c>
      <c r="G1823" s="2" t="s">
        <v>173</v>
      </c>
      <c r="H1823">
        <v>1</v>
      </c>
      <c r="I1823">
        <v>2</v>
      </c>
      <c r="J1823">
        <v>293.27999999999997</v>
      </c>
      <c r="K1823">
        <v>0.05</v>
      </c>
      <c r="L1823">
        <v>182</v>
      </c>
      <c r="M1823">
        <v>586.55999999999995</v>
      </c>
      <c r="N1823">
        <v>557.23199999999997</v>
      </c>
      <c r="O1823">
        <v>364</v>
      </c>
      <c r="P1823">
        <v>193.23199999999997</v>
      </c>
    </row>
    <row r="1824" spans="1:16" x14ac:dyDescent="0.3">
      <c r="A1824" s="1">
        <v>45992</v>
      </c>
      <c r="B1824" s="2" t="s">
        <v>65</v>
      </c>
      <c r="C1824" s="2" t="s">
        <v>66</v>
      </c>
      <c r="D1824" s="2" t="s">
        <v>50</v>
      </c>
      <c r="E1824" s="2" t="s">
        <v>42</v>
      </c>
      <c r="F1824" s="2" t="s">
        <v>48</v>
      </c>
      <c r="G1824" s="2" t="s">
        <v>195</v>
      </c>
      <c r="H1824">
        <v>1</v>
      </c>
      <c r="I1824">
        <v>4</v>
      </c>
      <c r="J1824">
        <v>89.62</v>
      </c>
      <c r="K1824">
        <v>0.08</v>
      </c>
      <c r="L1824">
        <v>39</v>
      </c>
      <c r="M1824">
        <v>358.48</v>
      </c>
      <c r="N1824">
        <v>329.80160000000001</v>
      </c>
      <c r="O1824">
        <v>156</v>
      </c>
      <c r="P1824">
        <v>173.80160000000001</v>
      </c>
    </row>
    <row r="1825" spans="1:16" x14ac:dyDescent="0.3">
      <c r="A1825" s="1">
        <v>45992</v>
      </c>
      <c r="B1825" s="2" t="s">
        <v>65</v>
      </c>
      <c r="C1825" s="2" t="s">
        <v>134</v>
      </c>
      <c r="D1825" s="2" t="s">
        <v>41</v>
      </c>
      <c r="E1825" s="2" t="s">
        <v>51</v>
      </c>
      <c r="F1825" s="2" t="s">
        <v>43</v>
      </c>
      <c r="G1825" s="2" t="s">
        <v>135</v>
      </c>
      <c r="H1825">
        <v>2</v>
      </c>
      <c r="I1825">
        <v>15</v>
      </c>
      <c r="J1825">
        <v>563.09999999999991</v>
      </c>
      <c r="K1825">
        <v>0.05</v>
      </c>
      <c r="L1825">
        <v>395</v>
      </c>
      <c r="M1825">
        <v>8509.01</v>
      </c>
      <c r="N1825">
        <v>7879.777</v>
      </c>
      <c r="O1825">
        <v>5925</v>
      </c>
      <c r="P1825">
        <v>1954.7769999999996</v>
      </c>
    </row>
    <row r="1826" spans="1:16" x14ac:dyDescent="0.3">
      <c r="A1826" s="1">
        <v>45992</v>
      </c>
      <c r="B1826" s="2" t="s">
        <v>39</v>
      </c>
      <c r="C1826" s="2" t="s">
        <v>78</v>
      </c>
      <c r="D1826" s="2" t="s">
        <v>50</v>
      </c>
      <c r="E1826" s="2" t="s">
        <v>42</v>
      </c>
      <c r="F1826" s="2" t="s">
        <v>43</v>
      </c>
      <c r="G1826" s="2" t="s">
        <v>163</v>
      </c>
      <c r="H1826">
        <v>1</v>
      </c>
      <c r="I1826">
        <v>1</v>
      </c>
      <c r="J1826">
        <v>170.73</v>
      </c>
      <c r="K1826">
        <v>0.1</v>
      </c>
      <c r="L1826">
        <v>86</v>
      </c>
      <c r="M1826">
        <v>170.73</v>
      </c>
      <c r="N1826">
        <v>153.65699999999998</v>
      </c>
      <c r="O1826">
        <v>86</v>
      </c>
      <c r="P1826">
        <v>67.656999999999982</v>
      </c>
    </row>
    <row r="1827" spans="1:16" x14ac:dyDescent="0.3">
      <c r="A1827" s="1">
        <v>45992</v>
      </c>
      <c r="B1827" s="2" t="s">
        <v>39</v>
      </c>
      <c r="C1827" s="2" t="s">
        <v>78</v>
      </c>
      <c r="D1827" s="2" t="s">
        <v>46</v>
      </c>
      <c r="E1827" s="2" t="s">
        <v>47</v>
      </c>
      <c r="F1827" s="2" t="s">
        <v>43</v>
      </c>
      <c r="G1827" s="2" t="s">
        <v>79</v>
      </c>
      <c r="H1827">
        <v>2</v>
      </c>
      <c r="I1827">
        <v>5</v>
      </c>
      <c r="J1827">
        <v>857.99</v>
      </c>
      <c r="K1827">
        <v>0.1</v>
      </c>
      <c r="L1827">
        <v>520</v>
      </c>
      <c r="M1827">
        <v>4304.83</v>
      </c>
      <c r="N1827">
        <v>3827.7275</v>
      </c>
      <c r="O1827">
        <v>2600</v>
      </c>
      <c r="P1827">
        <v>1227.7274999999997</v>
      </c>
    </row>
    <row r="1828" spans="1:16" x14ac:dyDescent="0.3">
      <c r="A1828" s="1">
        <v>45992</v>
      </c>
      <c r="B1828" s="2" t="s">
        <v>39</v>
      </c>
      <c r="C1828" s="2" t="s">
        <v>54</v>
      </c>
      <c r="D1828" s="2" t="s">
        <v>41</v>
      </c>
      <c r="E1828" s="2" t="s">
        <v>47</v>
      </c>
      <c r="F1828" s="2" t="s">
        <v>43</v>
      </c>
      <c r="G1828" s="2" t="s">
        <v>69</v>
      </c>
      <c r="H1828">
        <v>1</v>
      </c>
      <c r="I1828">
        <v>2</v>
      </c>
      <c r="J1828">
        <v>835.29</v>
      </c>
      <c r="K1828">
        <v>0</v>
      </c>
      <c r="L1828">
        <v>520</v>
      </c>
      <c r="M1828">
        <v>1670.58</v>
      </c>
      <c r="N1828">
        <v>1670.58</v>
      </c>
      <c r="O1828">
        <v>1040</v>
      </c>
      <c r="P1828">
        <v>630.57999999999993</v>
      </c>
    </row>
    <row r="1829" spans="1:16" x14ac:dyDescent="0.3">
      <c r="A1829" s="1">
        <v>45992</v>
      </c>
      <c r="B1829" s="2" t="s">
        <v>39</v>
      </c>
      <c r="C1829" s="2" t="s">
        <v>88</v>
      </c>
      <c r="D1829" s="2" t="s">
        <v>50</v>
      </c>
      <c r="E1829" s="2" t="s">
        <v>51</v>
      </c>
      <c r="F1829" s="2" t="s">
        <v>48</v>
      </c>
      <c r="G1829" s="2" t="s">
        <v>173</v>
      </c>
      <c r="H1829">
        <v>1</v>
      </c>
      <c r="I1829">
        <v>7</v>
      </c>
      <c r="J1829">
        <v>20.87</v>
      </c>
      <c r="K1829">
        <v>0</v>
      </c>
      <c r="L1829">
        <v>8</v>
      </c>
      <c r="M1829">
        <v>146.09</v>
      </c>
      <c r="N1829">
        <v>146.09</v>
      </c>
      <c r="O1829">
        <v>56</v>
      </c>
      <c r="P1829">
        <v>90.09</v>
      </c>
    </row>
    <row r="1830" spans="1:16" x14ac:dyDescent="0.3">
      <c r="A1830" s="1">
        <v>45992</v>
      </c>
      <c r="B1830" s="2" t="s">
        <v>75</v>
      </c>
      <c r="C1830" s="2" t="s">
        <v>76</v>
      </c>
      <c r="D1830" s="2" t="s">
        <v>46</v>
      </c>
      <c r="E1830" s="2" t="s">
        <v>47</v>
      </c>
      <c r="F1830" s="2" t="s">
        <v>48</v>
      </c>
      <c r="G1830" s="2" t="s">
        <v>77</v>
      </c>
      <c r="H1830">
        <v>2</v>
      </c>
      <c r="I1830">
        <v>12</v>
      </c>
      <c r="J1830">
        <v>50.115000000000002</v>
      </c>
      <c r="K1830">
        <v>0.11499999999999999</v>
      </c>
      <c r="L1830">
        <v>19.5</v>
      </c>
      <c r="M1830">
        <v>601.38</v>
      </c>
      <c r="N1830">
        <v>521.57220000000007</v>
      </c>
      <c r="O1830">
        <v>234</v>
      </c>
      <c r="P1830">
        <v>287.57220000000001</v>
      </c>
    </row>
    <row r="1831" spans="1:16" x14ac:dyDescent="0.3">
      <c r="A1831" s="1">
        <v>45992</v>
      </c>
      <c r="B1831" s="2" t="s">
        <v>39</v>
      </c>
      <c r="C1831" s="2" t="s">
        <v>92</v>
      </c>
      <c r="D1831" s="2" t="s">
        <v>46</v>
      </c>
      <c r="E1831" s="2" t="s">
        <v>42</v>
      </c>
      <c r="F1831" s="2" t="s">
        <v>48</v>
      </c>
      <c r="G1831" s="2" t="s">
        <v>166</v>
      </c>
      <c r="H1831">
        <v>1</v>
      </c>
      <c r="I1831">
        <v>3</v>
      </c>
      <c r="J1831">
        <v>92.59</v>
      </c>
      <c r="K1831">
        <v>0.1</v>
      </c>
      <c r="L1831">
        <v>39</v>
      </c>
      <c r="M1831">
        <v>277.77</v>
      </c>
      <c r="N1831">
        <v>249.99299999999999</v>
      </c>
      <c r="O1831">
        <v>117</v>
      </c>
      <c r="P1831">
        <v>132.99299999999999</v>
      </c>
    </row>
    <row r="1832" spans="1:16" x14ac:dyDescent="0.3">
      <c r="A1832" s="1">
        <v>45992</v>
      </c>
      <c r="B1832" s="2" t="s">
        <v>70</v>
      </c>
      <c r="C1832" s="2" t="s">
        <v>45</v>
      </c>
      <c r="D1832" s="2" t="s">
        <v>50</v>
      </c>
      <c r="E1832" s="2" t="s">
        <v>42</v>
      </c>
      <c r="F1832" s="2" t="s">
        <v>48</v>
      </c>
      <c r="G1832" s="2" t="s">
        <v>71</v>
      </c>
      <c r="H1832">
        <v>1</v>
      </c>
      <c r="I1832">
        <v>1</v>
      </c>
      <c r="J1832">
        <v>95.7</v>
      </c>
      <c r="K1832">
        <v>0.1</v>
      </c>
      <c r="L1832">
        <v>39</v>
      </c>
      <c r="M1832">
        <v>95.7</v>
      </c>
      <c r="N1832">
        <v>86.13000000000001</v>
      </c>
      <c r="O1832">
        <v>39</v>
      </c>
      <c r="P1832">
        <v>47.13000000000001</v>
      </c>
    </row>
    <row r="1833" spans="1:16" x14ac:dyDescent="0.3">
      <c r="A1833" s="1">
        <v>45992</v>
      </c>
      <c r="B1833" s="2" t="s">
        <v>65</v>
      </c>
      <c r="C1833" s="2" t="s">
        <v>66</v>
      </c>
      <c r="D1833" s="2" t="s">
        <v>41</v>
      </c>
      <c r="E1833" s="2" t="s">
        <v>42</v>
      </c>
      <c r="F1833" s="2" t="s">
        <v>43</v>
      </c>
      <c r="G1833" s="2" t="s">
        <v>67</v>
      </c>
      <c r="H1833">
        <v>1</v>
      </c>
      <c r="I1833">
        <v>3</v>
      </c>
      <c r="J1833">
        <v>1148.44</v>
      </c>
      <c r="K1833">
        <v>0</v>
      </c>
      <c r="L1833">
        <v>760</v>
      </c>
      <c r="M1833">
        <v>3445.32</v>
      </c>
      <c r="N1833">
        <v>3445.32</v>
      </c>
      <c r="O1833">
        <v>2280</v>
      </c>
      <c r="P1833">
        <v>1165.3200000000002</v>
      </c>
    </row>
    <row r="1834" spans="1:16" x14ac:dyDescent="0.3">
      <c r="A1834" s="1">
        <v>45992</v>
      </c>
      <c r="B1834" s="2" t="s">
        <v>83</v>
      </c>
      <c r="C1834" s="2" t="s">
        <v>84</v>
      </c>
      <c r="D1834" s="2" t="s">
        <v>50</v>
      </c>
      <c r="E1834" s="2" t="s">
        <v>42</v>
      </c>
      <c r="F1834" s="2" t="s">
        <v>48</v>
      </c>
      <c r="G1834" s="2" t="s">
        <v>91</v>
      </c>
      <c r="H1834">
        <v>1</v>
      </c>
      <c r="I1834">
        <v>1</v>
      </c>
      <c r="J1834">
        <v>23.79</v>
      </c>
      <c r="K1834">
        <v>0.1</v>
      </c>
      <c r="L1834">
        <v>8</v>
      </c>
      <c r="M1834">
        <v>23.79</v>
      </c>
      <c r="N1834">
        <v>21.411000000000001</v>
      </c>
      <c r="O1834">
        <v>8</v>
      </c>
      <c r="P1834">
        <v>13.411000000000001</v>
      </c>
    </row>
    <row r="1835" spans="1:16" x14ac:dyDescent="0.3">
      <c r="A1835" s="1">
        <v>45992</v>
      </c>
      <c r="B1835" s="2" t="s">
        <v>39</v>
      </c>
      <c r="C1835" s="2" t="s">
        <v>88</v>
      </c>
      <c r="D1835" s="2" t="s">
        <v>41</v>
      </c>
      <c r="E1835" s="2" t="s">
        <v>51</v>
      </c>
      <c r="F1835" s="2" t="s">
        <v>52</v>
      </c>
      <c r="G1835" s="2" t="s">
        <v>117</v>
      </c>
      <c r="H1835">
        <v>1</v>
      </c>
      <c r="I1835">
        <v>4</v>
      </c>
      <c r="J1835">
        <v>39.020000000000003</v>
      </c>
      <c r="K1835">
        <v>0</v>
      </c>
      <c r="L1835">
        <v>18</v>
      </c>
      <c r="M1835">
        <v>156.08000000000001</v>
      </c>
      <c r="N1835">
        <v>156.08000000000001</v>
      </c>
      <c r="O1835">
        <v>72</v>
      </c>
      <c r="P1835">
        <v>84.080000000000013</v>
      </c>
    </row>
    <row r="1836" spans="1:16" x14ac:dyDescent="0.3">
      <c r="A1836" s="1">
        <v>45992</v>
      </c>
      <c r="B1836" s="2" t="s">
        <v>65</v>
      </c>
      <c r="C1836" s="2" t="s">
        <v>66</v>
      </c>
      <c r="D1836" s="2" t="s">
        <v>50</v>
      </c>
      <c r="E1836" s="2" t="s">
        <v>51</v>
      </c>
      <c r="F1836" s="2" t="s">
        <v>43</v>
      </c>
      <c r="G1836" s="2" t="s">
        <v>195</v>
      </c>
      <c r="H1836">
        <v>1</v>
      </c>
      <c r="I1836">
        <v>12</v>
      </c>
      <c r="J1836">
        <v>95.92</v>
      </c>
      <c r="K1836">
        <v>0.12</v>
      </c>
      <c r="L1836">
        <v>54</v>
      </c>
      <c r="M1836">
        <v>1151.04</v>
      </c>
      <c r="N1836">
        <v>1012.9152</v>
      </c>
      <c r="O1836">
        <v>648</v>
      </c>
      <c r="P1836">
        <v>364.91520000000003</v>
      </c>
    </row>
    <row r="1837" spans="1:16" x14ac:dyDescent="0.3">
      <c r="A1837" s="1">
        <v>45992</v>
      </c>
      <c r="B1837" s="2" t="s">
        <v>83</v>
      </c>
      <c r="C1837" s="2" t="s">
        <v>84</v>
      </c>
      <c r="D1837" s="2" t="s">
        <v>41</v>
      </c>
      <c r="E1837" s="2" t="s">
        <v>47</v>
      </c>
      <c r="F1837" s="2" t="s">
        <v>48</v>
      </c>
      <c r="G1837" s="2" t="s">
        <v>160</v>
      </c>
      <c r="H1837">
        <v>1</v>
      </c>
      <c r="I1837">
        <v>3</v>
      </c>
      <c r="J1837">
        <v>74.760000000000005</v>
      </c>
      <c r="K1837">
        <v>0</v>
      </c>
      <c r="L1837">
        <v>31</v>
      </c>
      <c r="M1837">
        <v>224.28000000000003</v>
      </c>
      <c r="N1837">
        <v>224.28000000000003</v>
      </c>
      <c r="O1837">
        <v>93</v>
      </c>
      <c r="P1837">
        <v>131.28000000000003</v>
      </c>
    </row>
    <row r="1838" spans="1:16" x14ac:dyDescent="0.3">
      <c r="A1838" s="1">
        <v>45992</v>
      </c>
      <c r="B1838" s="2" t="s">
        <v>39</v>
      </c>
      <c r="C1838" s="2" t="s">
        <v>45</v>
      </c>
      <c r="D1838" s="2" t="s">
        <v>50</v>
      </c>
      <c r="E1838" s="2" t="s">
        <v>51</v>
      </c>
      <c r="F1838" s="2" t="s">
        <v>48</v>
      </c>
      <c r="G1838" s="2" t="s">
        <v>209</v>
      </c>
      <c r="H1838">
        <v>2</v>
      </c>
      <c r="I1838">
        <v>20</v>
      </c>
      <c r="J1838">
        <v>20.99</v>
      </c>
      <c r="K1838">
        <v>0.1</v>
      </c>
      <c r="L1838">
        <v>8</v>
      </c>
      <c r="M1838">
        <v>419.79999999999995</v>
      </c>
      <c r="N1838">
        <v>377.82</v>
      </c>
      <c r="O1838">
        <v>160</v>
      </c>
      <c r="P1838">
        <v>217.82</v>
      </c>
    </row>
    <row r="1839" spans="1:16" x14ac:dyDescent="0.3">
      <c r="A1839" s="1">
        <v>45992</v>
      </c>
      <c r="B1839" s="2" t="s">
        <v>39</v>
      </c>
      <c r="C1839" s="2" t="s">
        <v>45</v>
      </c>
      <c r="D1839" s="2" t="s">
        <v>158</v>
      </c>
      <c r="E1839" s="2" t="s">
        <v>42</v>
      </c>
      <c r="F1839" s="2" t="s">
        <v>48</v>
      </c>
      <c r="G1839" s="2" t="s">
        <v>86</v>
      </c>
      <c r="H1839">
        <v>1</v>
      </c>
      <c r="I1839">
        <v>1</v>
      </c>
      <c r="J1839">
        <v>22.73</v>
      </c>
      <c r="K1839">
        <v>0</v>
      </c>
      <c r="L1839">
        <v>8</v>
      </c>
      <c r="M1839">
        <v>22.73</v>
      </c>
      <c r="N1839">
        <v>22.73</v>
      </c>
      <c r="O1839">
        <v>8</v>
      </c>
      <c r="P1839">
        <v>14.73</v>
      </c>
    </row>
    <row r="1840" spans="1:16" x14ac:dyDescent="0.3">
      <c r="A1840" s="1">
        <v>45992</v>
      </c>
      <c r="B1840" s="2" t="s">
        <v>65</v>
      </c>
      <c r="C1840" s="2" t="s">
        <v>66</v>
      </c>
      <c r="D1840" s="2" t="s">
        <v>50</v>
      </c>
      <c r="E1840" s="2" t="s">
        <v>42</v>
      </c>
      <c r="F1840" s="2" t="s">
        <v>48</v>
      </c>
      <c r="G1840" s="2" t="s">
        <v>49</v>
      </c>
      <c r="H1840">
        <v>1</v>
      </c>
      <c r="I1840">
        <v>3</v>
      </c>
      <c r="J1840">
        <v>74.31</v>
      </c>
      <c r="K1840">
        <v>0.1</v>
      </c>
      <c r="L1840">
        <v>31</v>
      </c>
      <c r="M1840">
        <v>222.93</v>
      </c>
      <c r="N1840">
        <v>200.637</v>
      </c>
      <c r="O1840">
        <v>93</v>
      </c>
      <c r="P1840">
        <v>107.637</v>
      </c>
    </row>
    <row r="1841" spans="1:16" x14ac:dyDescent="0.3">
      <c r="A1841" s="1">
        <v>45992</v>
      </c>
      <c r="B1841" s="2" t="s">
        <v>56</v>
      </c>
      <c r="C1841" s="2" t="s">
        <v>57</v>
      </c>
      <c r="D1841" s="2" t="s">
        <v>50</v>
      </c>
      <c r="E1841" s="2" t="s">
        <v>47</v>
      </c>
      <c r="F1841" s="2" t="s">
        <v>52</v>
      </c>
      <c r="G1841" s="2" t="s">
        <v>212</v>
      </c>
      <c r="H1841">
        <v>1</v>
      </c>
      <c r="I1841">
        <v>2</v>
      </c>
      <c r="J1841">
        <v>44.14</v>
      </c>
      <c r="K1841">
        <v>0.08</v>
      </c>
      <c r="L1841">
        <v>18</v>
      </c>
      <c r="M1841">
        <v>88.28</v>
      </c>
      <c r="N1841">
        <v>81.217600000000004</v>
      </c>
      <c r="O1841">
        <v>36</v>
      </c>
      <c r="P1841">
        <v>45.217600000000004</v>
      </c>
    </row>
    <row r="1842" spans="1:16" x14ac:dyDescent="0.3">
      <c r="A1842" s="1">
        <v>45992</v>
      </c>
      <c r="B1842" s="2" t="s">
        <v>65</v>
      </c>
      <c r="C1842" s="2" t="s">
        <v>134</v>
      </c>
      <c r="D1842" s="2" t="s">
        <v>41</v>
      </c>
      <c r="E1842" s="2" t="s">
        <v>51</v>
      </c>
      <c r="F1842" s="2" t="s">
        <v>52</v>
      </c>
      <c r="G1842" s="2" t="s">
        <v>135</v>
      </c>
      <c r="H1842">
        <v>1</v>
      </c>
      <c r="I1842">
        <v>13</v>
      </c>
      <c r="J1842">
        <v>38.380000000000003</v>
      </c>
      <c r="K1842">
        <v>0</v>
      </c>
      <c r="L1842">
        <v>18</v>
      </c>
      <c r="M1842">
        <v>498.94000000000005</v>
      </c>
      <c r="N1842">
        <v>498.94000000000005</v>
      </c>
      <c r="O1842">
        <v>234</v>
      </c>
      <c r="P1842">
        <v>264.94000000000005</v>
      </c>
    </row>
    <row r="1843" spans="1:16" x14ac:dyDescent="0.3">
      <c r="A1843" s="1">
        <v>45992</v>
      </c>
      <c r="B1843" s="2" t="s">
        <v>39</v>
      </c>
      <c r="C1843" s="2" t="s">
        <v>40</v>
      </c>
      <c r="D1843" s="2" t="s">
        <v>46</v>
      </c>
      <c r="E1843" s="2" t="s">
        <v>47</v>
      </c>
      <c r="F1843" s="2" t="s">
        <v>48</v>
      </c>
      <c r="G1843" s="2" t="s">
        <v>207</v>
      </c>
      <c r="H1843">
        <v>1</v>
      </c>
      <c r="I1843">
        <v>6</v>
      </c>
      <c r="J1843">
        <v>93.33</v>
      </c>
      <c r="K1843">
        <v>0.1</v>
      </c>
      <c r="L1843">
        <v>39</v>
      </c>
      <c r="M1843">
        <v>559.98</v>
      </c>
      <c r="N1843">
        <v>503.98200000000003</v>
      </c>
      <c r="O1843">
        <v>234</v>
      </c>
      <c r="P1843">
        <v>269.98200000000003</v>
      </c>
    </row>
    <row r="1844" spans="1:16" x14ac:dyDescent="0.3">
      <c r="A1844" s="1">
        <v>45992</v>
      </c>
      <c r="B1844" s="2" t="s">
        <v>39</v>
      </c>
      <c r="C1844" s="2" t="s">
        <v>40</v>
      </c>
      <c r="D1844" s="2" t="s">
        <v>50</v>
      </c>
      <c r="E1844" s="2" t="s">
        <v>42</v>
      </c>
      <c r="F1844" s="2" t="s">
        <v>43</v>
      </c>
      <c r="G1844" s="2" t="s">
        <v>82</v>
      </c>
      <c r="H1844">
        <v>1</v>
      </c>
      <c r="I1844">
        <v>3</v>
      </c>
      <c r="J1844">
        <v>176.32</v>
      </c>
      <c r="K1844">
        <v>0.05</v>
      </c>
      <c r="L1844">
        <v>86</v>
      </c>
      <c r="M1844">
        <v>528.96</v>
      </c>
      <c r="N1844">
        <v>502.512</v>
      </c>
      <c r="O1844">
        <v>258</v>
      </c>
      <c r="P1844">
        <v>244.512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A3D520-4C47-426F-92BE-E61E93360F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Financial Summary</vt:lpstr>
      <vt:lpstr>Activity Survey</vt:lpstr>
      <vt:lpstr>benchmarks</vt:lpstr>
      <vt:lpstr>financial_summary</vt:lpstr>
      <vt:lpstr>activity_survey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Aurel VEHI</dc:creator>
  <cp:lastModifiedBy>Loua Aurel De Vince Vehi</cp:lastModifiedBy>
  <dcterms:created xsi:type="dcterms:W3CDTF">2015-06-05T18:17:20Z</dcterms:created>
  <dcterms:modified xsi:type="dcterms:W3CDTF">2026-03-18T19:08:42Z</dcterms:modified>
</cp:coreProperties>
</file>